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Concursos\BB 2023-2025\"/>
    </mc:Choice>
  </mc:AlternateContent>
  <xr:revisionPtr revIDLastSave="0" documentId="8_{A84CD8CF-4787-4C8D-AA0D-1710D7777E5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o usar a planilha" sheetId="1" r:id="rId1"/>
    <sheet name="Grade Horária" sheetId="2" r:id="rId2"/>
    <sheet name="Ex. Ciclo de estudos" sheetId="3" r:id="rId3"/>
    <sheet name="Exemplo TCD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4" l="1"/>
  <c r="L30" i="4"/>
  <c r="I30" i="4"/>
  <c r="D30" i="4"/>
  <c r="E30" i="4" s="1"/>
  <c r="L29" i="4"/>
  <c r="G29" i="4"/>
  <c r="L28" i="4"/>
  <c r="G28" i="4"/>
  <c r="A26" i="4"/>
  <c r="L24" i="4"/>
  <c r="G24" i="4"/>
  <c r="E24" i="4"/>
  <c r="L23" i="4"/>
  <c r="J23" i="4"/>
  <c r="G23" i="4"/>
  <c r="E23" i="4"/>
  <c r="L22" i="4"/>
  <c r="J22" i="4"/>
  <c r="G22" i="4"/>
  <c r="E22" i="4"/>
  <c r="L21" i="4"/>
  <c r="J21" i="4"/>
  <c r="G21" i="4"/>
  <c r="E21" i="4"/>
  <c r="L20" i="4"/>
  <c r="J20" i="4"/>
  <c r="G20" i="4"/>
  <c r="E20" i="4"/>
  <c r="L19" i="4"/>
  <c r="J19" i="4"/>
  <c r="G19" i="4"/>
  <c r="E19" i="4"/>
  <c r="L18" i="4"/>
  <c r="J18" i="4"/>
  <c r="G18" i="4"/>
  <c r="E18" i="4"/>
  <c r="L17" i="4"/>
  <c r="J17" i="4"/>
  <c r="G17" i="4"/>
  <c r="E17" i="4"/>
  <c r="L16" i="4"/>
  <c r="J16" i="4"/>
  <c r="G16" i="4"/>
  <c r="E16" i="4"/>
  <c r="L15" i="4"/>
  <c r="J15" i="4"/>
  <c r="G15" i="4"/>
  <c r="E15" i="4"/>
  <c r="C32" i="2"/>
  <c r="C31" i="2"/>
  <c r="M29" i="2"/>
  <c r="J29" i="2"/>
  <c r="K29" i="2" s="1"/>
  <c r="E29" i="2"/>
  <c r="F29" i="2" s="1"/>
  <c r="M28" i="2"/>
  <c r="H28" i="2"/>
  <c r="M27" i="2"/>
  <c r="H27" i="2"/>
  <c r="M26" i="2"/>
  <c r="H26" i="2"/>
  <c r="B26" i="2"/>
  <c r="M25" i="2"/>
  <c r="H25" i="2"/>
  <c r="M24" i="2"/>
  <c r="H24" i="2"/>
  <c r="M23" i="2"/>
  <c r="M22" i="2"/>
  <c r="H22" i="2"/>
  <c r="M21" i="2"/>
  <c r="H21" i="2"/>
  <c r="M20" i="2"/>
  <c r="H20" i="2"/>
  <c r="M19" i="2"/>
  <c r="H19" i="2"/>
  <c r="M18" i="2"/>
  <c r="H18" i="2"/>
  <c r="M17" i="2"/>
  <c r="H17" i="2"/>
  <c r="G30" i="4" l="1"/>
  <c r="H29" i="2"/>
  <c r="F30" i="2"/>
  <c r="F26" i="2" l="1"/>
  <c r="K23" i="2"/>
  <c r="F20" i="2"/>
  <c r="F17" i="2"/>
  <c r="F19" i="2"/>
  <c r="K28" i="2"/>
  <c r="K19" i="2"/>
  <c r="K26" i="2"/>
  <c r="K20" i="2"/>
  <c r="K17" i="2"/>
  <c r="F27" i="2"/>
  <c r="F21" i="2"/>
  <c r="F18" i="2"/>
  <c r="F22" i="2"/>
  <c r="F24" i="2"/>
  <c r="K24" i="2"/>
  <c r="K27" i="2"/>
  <c r="F25" i="2"/>
  <c r="K21" i="2"/>
  <c r="K18" i="2"/>
  <c r="F28" i="2"/>
  <c r="K25" i="2"/>
  <c r="K22" i="2"/>
</calcChain>
</file>

<file path=xl/sharedStrings.xml><?xml version="1.0" encoding="utf-8"?>
<sst xmlns="http://schemas.openxmlformats.org/spreadsheetml/2006/main" count="187" uniqueCount="75">
  <si>
    <t>SIGA ESTE PASSO A PASSO E FAÇA UM DE CADA VEZ. NÃO PULE.</t>
  </si>
  <si>
    <t>Procure as cores das intruções nas planilhas.</t>
  </si>
  <si>
    <t>As matérias azuis são  "exatas" e as verdes "humanas".</t>
  </si>
  <si>
    <t>Pode usar o sábado e domingo também!</t>
  </si>
  <si>
    <t>Tire suas dúvidas usando o meu modelo na aba "EXEMPLO TCDF"</t>
  </si>
  <si>
    <t>1 - Defina seus horários  de estudo. Dividida seu tempo, preferencialmente, em blocos de 1 hora (50 minutos de estudo, 10 de intervalo)</t>
  </si>
  <si>
    <t xml:space="preserve">2 - Some as horas e Insira no campo "total de horas na semana" a quantidade de horas por semana que você vai estudar. </t>
  </si>
  <si>
    <r>
      <rPr>
        <sz val="11"/>
        <color theme="1"/>
        <rFont val="Calibri"/>
      </rPr>
      <t xml:space="preserve">3 - </t>
    </r>
    <r>
      <rPr>
        <b/>
        <sz val="11"/>
        <color theme="1"/>
        <rFont val="Calibri"/>
      </rPr>
      <t>Calculando o peso que cada matéria vai ter na sua prova</t>
    </r>
    <r>
      <rPr>
        <sz val="11"/>
        <color theme="1"/>
        <rFont val="Calibri"/>
      </rPr>
      <t>. SIGA OS PASSOS ABAIXO</t>
    </r>
  </si>
  <si>
    <t>3.1 - Para isso, apenas insira no campo "nota máx. na prova" (G28) a nota máxima possível na prova, ou seja, se você acertasse todos os itens.</t>
  </si>
  <si>
    <t>3.2 - Nas colunas "Nota máx. na matéria" (F15 e k15 para baixo) preencha a nota máxima possível em cada matéria.</t>
  </si>
  <si>
    <t>4. Veja na célula A31 quanto 1 hora do seu dia representa do total de estudos da semana e faça as distribuições das matérias de acordo com os ensinamentos do curso.</t>
  </si>
  <si>
    <t>4.1 Exemplo: Português representa 8% da nota da sua prova e cada hora de estudo representa 2% do deu tempo semanal. Então, você vai colocar português em 4 horários da sua grade.</t>
  </si>
  <si>
    <r>
      <rPr>
        <sz val="11"/>
        <color theme="1"/>
        <rFont val="Calibri"/>
      </rPr>
      <t xml:space="preserve">4.2 Dica importante: nas matérias em que você tem </t>
    </r>
    <r>
      <rPr>
        <b/>
        <sz val="11"/>
        <color rgb="FF548135"/>
        <rFont val="Calibri (Corpo)"/>
      </rPr>
      <t>mais conhecimento</t>
    </r>
    <r>
      <rPr>
        <sz val="11"/>
        <color theme="1"/>
        <rFont val="Calibri"/>
      </rPr>
      <t xml:space="preserve">, se preciso, </t>
    </r>
    <r>
      <rPr>
        <b/>
        <sz val="11"/>
        <color rgb="FF548135"/>
        <rFont val="Calibri (Corpo)"/>
      </rPr>
      <t>deixe "faltar tempo"o</t>
    </r>
    <r>
      <rPr>
        <sz val="11"/>
        <color theme="1"/>
        <rFont val="Calibri"/>
      </rPr>
      <t xml:space="preserve"> e nas que tem </t>
    </r>
    <r>
      <rPr>
        <b/>
        <sz val="11"/>
        <color rgb="FFFF0000"/>
        <rFont val="Calibri (Corpo)"/>
      </rPr>
      <t>menos</t>
    </r>
    <r>
      <rPr>
        <sz val="11"/>
        <color theme="1"/>
        <rFont val="Calibri"/>
      </rPr>
      <t xml:space="preserve">, deixe </t>
    </r>
    <r>
      <rPr>
        <b/>
        <sz val="11"/>
        <color rgb="FFFF0000"/>
        <rFont val="Calibri (Corpo)"/>
      </rPr>
      <t>"sobrar tempo"</t>
    </r>
    <r>
      <rPr>
        <sz val="11"/>
        <color theme="1"/>
        <rFont val="Calibri"/>
      </rPr>
      <t>. Exemplo TCDF: Sou bom de português, a nota máxima de português é 10 e minha hora de estudo representa 2,86% do meu tempo total. Então, se eu dedicar 4 horários para português, isso representa 11,44% do meu tempo total. Se eu dedicar 3 horários, isso representa 8,58% do meu tempo. Como sou bom de português e ele representa 10% da nota da prova, coloco só 3 horários (8,58%) e "arredondo pra baixo".</t>
    </r>
  </si>
  <si>
    <t>5. Conferência: Veja se os valores de "peso/semana" e "peso na prova" estão coerentes.</t>
  </si>
  <si>
    <t>1. CONHECIMENTOS BÁSICOS</t>
  </si>
  <si>
    <t>Horário</t>
  </si>
  <si>
    <t>Segunda</t>
  </si>
  <si>
    <t>Terça</t>
  </si>
  <si>
    <t xml:space="preserve">Quarta </t>
  </si>
  <si>
    <t>Quinta</t>
  </si>
  <si>
    <t>Sexta</t>
  </si>
  <si>
    <t>Sábado</t>
  </si>
  <si>
    <t>Domingo</t>
  </si>
  <si>
    <t>Língua Portuguesa</t>
  </si>
  <si>
    <t>2. CONHECIMENTOS ESPECÍFICOS</t>
  </si>
  <si>
    <t>Conhecimentos gerais</t>
  </si>
  <si>
    <t>Conhecimentos Específicos</t>
  </si>
  <si>
    <t>Matéria</t>
  </si>
  <si>
    <t>Horas/Semana</t>
  </si>
  <si>
    <t>Peso/Semana</t>
  </si>
  <si>
    <t>Nota máx na matéria</t>
  </si>
  <si>
    <t>Peso/Prova</t>
  </si>
  <si>
    <t>UMA HORA DO SEU DIA REPRESENTA</t>
  </si>
  <si>
    <t xml:space="preserve"> </t>
  </si>
  <si>
    <t>Total de Horas de estudo</t>
  </si>
  <si>
    <t>Peso de Conhec. Gerais</t>
  </si>
  <si>
    <t>Peso de Específicos</t>
  </si>
  <si>
    <t>Total de horas disponiveis por semana</t>
  </si>
  <si>
    <t>Total na Semana</t>
  </si>
  <si>
    <t>Nota máx na prova</t>
  </si>
  <si>
    <t>Conhecimentos Básicos</t>
  </si>
  <si>
    <t>1. CONHECIMENTOS GERAIS</t>
  </si>
  <si>
    <t>H</t>
  </si>
  <si>
    <t>Português</t>
  </si>
  <si>
    <t>Estatística</t>
  </si>
  <si>
    <t>Raciocínio Lógico</t>
  </si>
  <si>
    <t>Mat. Financeira</t>
  </si>
  <si>
    <t>Fin. Coorporativas</t>
  </si>
  <si>
    <t>Redação</t>
  </si>
  <si>
    <t>Conhecimentos DF</t>
  </si>
  <si>
    <t>Economia</t>
  </si>
  <si>
    <t>Dir. Civil</t>
  </si>
  <si>
    <t>Dir. Constitucional</t>
  </si>
  <si>
    <t>Dir. Penal</t>
  </si>
  <si>
    <t>Contabilidade Pública</t>
  </si>
  <si>
    <t>Livre</t>
  </si>
  <si>
    <t>LODF</t>
  </si>
  <si>
    <t>Contabilidade Geral</t>
  </si>
  <si>
    <t>AFO</t>
  </si>
  <si>
    <t>Dir. Administrativo</t>
  </si>
  <si>
    <t>Dir. Proc. Civil</t>
  </si>
  <si>
    <t> </t>
  </si>
  <si>
    <t>Auditoria Governamental</t>
  </si>
  <si>
    <t>Análise Dem. Cont</t>
  </si>
  <si>
    <t>Controle Externo</t>
  </si>
  <si>
    <t>Total de Horas</t>
  </si>
  <si>
    <t>Total Horas</t>
  </si>
  <si>
    <t>Total até a prova</t>
  </si>
  <si>
    <t xml:space="preserve">Língua Inglesa </t>
  </si>
  <si>
    <t>Matemática</t>
  </si>
  <si>
    <t>Atualidades do Mercado Financiero</t>
  </si>
  <si>
    <t>Probabilidade e Estatística</t>
  </si>
  <si>
    <t>Conhecimentos Bancários</t>
  </si>
  <si>
    <t>Tecnologia da Informação</t>
  </si>
  <si>
    <t>Atua. do Mercado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</si>
</sst>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rial"/>
      <scheme val="minor"/>
    </font>
    <font>
      <b/>
      <sz val="11"/>
      <color rgb="FF00FF00"/>
      <name val="Calibri"/>
    </font>
    <font>
      <sz val="11"/>
      <name val="Arial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b/>
      <sz val="12"/>
      <color rgb="FF444444"/>
      <name val="Calibri"/>
    </font>
    <font>
      <b/>
      <sz val="12"/>
      <color rgb="FF000000"/>
      <name val="Times"/>
    </font>
    <font>
      <b/>
      <sz val="12"/>
      <color theme="1"/>
      <name val="Verdana"/>
    </font>
    <font>
      <sz val="12"/>
      <color theme="1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2"/>
      <color theme="1"/>
      <name val="Verdana"/>
    </font>
    <font>
      <sz val="12"/>
      <color rgb="FF000000"/>
      <name val="Times"/>
    </font>
    <font>
      <b/>
      <sz val="12"/>
      <color rgb="FF969696"/>
      <name val="Verdana"/>
    </font>
    <font>
      <b/>
      <sz val="12"/>
      <color rgb="FFFF0000"/>
      <name val="Verdana"/>
    </font>
    <font>
      <b/>
      <sz val="11"/>
      <color rgb="FF444444"/>
      <name val="Calibri"/>
    </font>
    <font>
      <b/>
      <sz val="10"/>
      <color theme="1"/>
      <name val="Verdana"/>
    </font>
    <font>
      <b/>
      <u/>
      <sz val="10"/>
      <color theme="1"/>
      <name val="Verdana"/>
    </font>
    <font>
      <b/>
      <sz val="10"/>
      <color rgb="FF000000"/>
      <name val="Verdana"/>
    </font>
    <font>
      <sz val="10"/>
      <color theme="1"/>
      <name val="Verdana"/>
    </font>
    <font>
      <sz val="10"/>
      <color rgb="FF0000FF"/>
      <name val="Verdana"/>
    </font>
    <font>
      <sz val="10"/>
      <color rgb="FFFF0000"/>
      <name val="Verdana"/>
    </font>
    <font>
      <b/>
      <sz val="10"/>
      <color rgb="FF969696"/>
      <name val="Verdana"/>
    </font>
    <font>
      <b/>
      <sz val="10"/>
      <color rgb="FFFF0000"/>
      <name val="Verdana"/>
    </font>
    <font>
      <b/>
      <sz val="11"/>
      <color rgb="FF548135"/>
      <name val="Calibri (Corpo)"/>
    </font>
    <font>
      <b/>
      <sz val="11"/>
      <color rgb="FFFF0000"/>
      <name val="Calibri (Corpo)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595959"/>
        <bgColor rgb="FF595959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D9D9D9"/>
        <bgColor rgb="FFD9D9D9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2" borderId="4" xfId="0" applyFont="1" applyFill="1" applyBorder="1" applyAlignment="1">
      <alignment horizontal="center"/>
    </xf>
    <xf numFmtId="0" fontId="4" fillId="0" borderId="0" xfId="0" applyFont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15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0" fillId="9" borderId="15" xfId="0" applyFont="1" applyFill="1" applyBorder="1" applyAlignment="1">
      <alignment vertical="center" wrapText="1"/>
    </xf>
    <xf numFmtId="20" fontId="11" fillId="0" borderId="3" xfId="0" applyNumberFormat="1" applyFont="1" applyBorder="1" applyAlignment="1">
      <alignment horizontal="center" vertical="center" wrapText="1"/>
    </xf>
    <xf numFmtId="0" fontId="10" fillId="10" borderId="15" xfId="0" applyFont="1" applyFill="1" applyBorder="1" applyAlignment="1">
      <alignment vertical="center" wrapText="1"/>
    </xf>
    <xf numFmtId="0" fontId="9" fillId="11" borderId="15" xfId="0" applyFont="1" applyFill="1" applyBorder="1" applyAlignment="1">
      <alignment horizontal="center" vertical="center" wrapText="1"/>
    </xf>
    <xf numFmtId="0" fontId="10" fillId="11" borderId="15" xfId="0" applyFont="1" applyFill="1" applyBorder="1" applyAlignment="1">
      <alignment vertical="center" wrapText="1"/>
    </xf>
    <xf numFmtId="20" fontId="11" fillId="0" borderId="0" xfId="0" applyNumberFormat="1" applyFont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vertical="center" wrapText="1"/>
    </xf>
    <xf numFmtId="0" fontId="13" fillId="11" borderId="0" xfId="0" applyFont="1" applyFill="1" applyAlignment="1">
      <alignment vertical="center" wrapText="1"/>
    </xf>
    <xf numFmtId="0" fontId="9" fillId="11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12" fillId="12" borderId="15" xfId="0" applyFont="1" applyFill="1" applyBorder="1" applyAlignment="1">
      <alignment horizontal="center" vertical="center" wrapText="1"/>
    </xf>
    <xf numFmtId="10" fontId="12" fillId="0" borderId="15" xfId="0" applyNumberFormat="1" applyFont="1" applyBorder="1" applyAlignment="1">
      <alignment horizontal="center" vertical="center" wrapText="1"/>
    </xf>
    <xf numFmtId="1" fontId="12" fillId="6" borderId="15" xfId="0" applyNumberFormat="1" applyFont="1" applyFill="1" applyBorder="1" applyAlignment="1">
      <alignment horizontal="center" vertical="center" wrapText="1"/>
    </xf>
    <xf numFmtId="10" fontId="13" fillId="0" borderId="15" xfId="0" applyNumberFormat="1" applyFont="1" applyBorder="1" applyAlignment="1">
      <alignment horizontal="center" vertical="center" wrapText="1"/>
    </xf>
    <xf numFmtId="0" fontId="9" fillId="10" borderId="15" xfId="0" applyFont="1" applyFill="1" applyBorder="1" applyAlignment="1">
      <alignment vertical="center" wrapText="1"/>
    </xf>
    <xf numFmtId="1" fontId="8" fillId="6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0" fontId="12" fillId="6" borderId="15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4" fillId="0" borderId="15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0" fontId="8" fillId="0" borderId="15" xfId="0" applyNumberFormat="1" applyFont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9" fontId="12" fillId="0" borderId="15" xfId="0" applyNumberFormat="1" applyFont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1" fontId="8" fillId="5" borderId="15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3" fillId="7" borderId="15" xfId="0" applyFont="1" applyFill="1" applyBorder="1"/>
    <xf numFmtId="0" fontId="3" fillId="9" borderId="15" xfId="0" applyFont="1" applyFill="1" applyBorder="1"/>
    <xf numFmtId="0" fontId="3" fillId="13" borderId="15" xfId="0" applyFont="1" applyFill="1" applyBorder="1"/>
    <xf numFmtId="0" fontId="16" fillId="0" borderId="15" xfId="0" applyFont="1" applyBorder="1"/>
    <xf numFmtId="0" fontId="7" fillId="0" borderId="3" xfId="0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/>
    </xf>
    <xf numFmtId="0" fontId="3" fillId="10" borderId="15" xfId="0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19" fillId="12" borderId="15" xfId="0" applyFont="1" applyFill="1" applyBorder="1" applyAlignment="1">
      <alignment horizontal="center"/>
    </xf>
    <xf numFmtId="0" fontId="20" fillId="12" borderId="15" xfId="0" applyFont="1" applyFill="1" applyBorder="1"/>
    <xf numFmtId="0" fontId="3" fillId="14" borderId="18" xfId="0" applyFont="1" applyFill="1" applyBorder="1"/>
    <xf numFmtId="0" fontId="20" fillId="14" borderId="15" xfId="0" applyFont="1" applyFill="1" applyBorder="1" applyAlignment="1">
      <alignment horizontal="center"/>
    </xf>
    <xf numFmtId="0" fontId="20" fillId="14" borderId="15" xfId="0" applyFont="1" applyFill="1" applyBorder="1"/>
    <xf numFmtId="0" fontId="20" fillId="0" borderId="15" xfId="0" applyFont="1" applyBorder="1"/>
    <xf numFmtId="0" fontId="3" fillId="9" borderId="15" xfId="0" applyFont="1" applyFill="1" applyBorder="1" applyAlignment="1">
      <alignment horizontal="center"/>
    </xf>
    <xf numFmtId="0" fontId="3" fillId="0" borderId="15" xfId="0" applyFont="1" applyBorder="1"/>
    <xf numFmtId="0" fontId="3" fillId="12" borderId="15" xfId="0" applyFont="1" applyFill="1" applyBorder="1" applyAlignment="1">
      <alignment horizontal="center" vertical="center"/>
    </xf>
    <xf numFmtId="0" fontId="3" fillId="10" borderId="15" xfId="0" applyFont="1" applyFill="1" applyBorder="1"/>
    <xf numFmtId="20" fontId="1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0" fillId="0" borderId="0" xfId="0" applyFont="1"/>
    <xf numFmtId="0" fontId="3" fillId="0" borderId="0" xfId="0" applyFont="1" applyAlignment="1">
      <alignment horizontal="center"/>
    </xf>
    <xf numFmtId="0" fontId="13" fillId="0" borderId="0" xfId="0" applyFont="1"/>
    <xf numFmtId="0" fontId="20" fillId="0" borderId="15" xfId="0" applyFont="1" applyBorder="1" applyAlignment="1">
      <alignment horizontal="center" vertical="center"/>
    </xf>
    <xf numFmtId="0" fontId="17" fillId="0" borderId="15" xfId="0" applyFont="1" applyBorder="1"/>
    <xf numFmtId="0" fontId="3" fillId="0" borderId="15" xfId="0" applyFont="1" applyBorder="1" applyAlignment="1">
      <alignment horizontal="left" vertical="center"/>
    </xf>
    <xf numFmtId="0" fontId="20" fillId="12" borderId="15" xfId="0" applyFont="1" applyFill="1" applyBorder="1" applyAlignment="1">
      <alignment horizontal="center" vertical="center"/>
    </xf>
    <xf numFmtId="10" fontId="20" fillId="0" borderId="15" xfId="0" applyNumberFormat="1" applyFont="1" applyBorder="1" applyAlignment="1">
      <alignment horizontal="center" vertical="center"/>
    </xf>
    <xf numFmtId="1" fontId="20" fillId="6" borderId="15" xfId="0" applyNumberFormat="1" applyFont="1" applyFill="1" applyBorder="1" applyAlignment="1">
      <alignment horizontal="center" vertical="center"/>
    </xf>
    <xf numFmtId="10" fontId="13" fillId="0" borderId="15" xfId="0" applyNumberFormat="1" applyFont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1" fontId="17" fillId="6" borderId="1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2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0" fontId="20" fillId="0" borderId="15" xfId="0" applyNumberFormat="1" applyFont="1" applyBorder="1" applyAlignment="1">
      <alignment horizontal="center"/>
    </xf>
    <xf numFmtId="1" fontId="17" fillId="6" borderId="15" xfId="0" applyNumberFormat="1" applyFont="1" applyFill="1" applyBorder="1" applyAlignment="1">
      <alignment horizontal="center"/>
    </xf>
    <xf numFmtId="9" fontId="20" fillId="0" borderId="15" xfId="0" applyNumberFormat="1" applyFont="1" applyBorder="1"/>
    <xf numFmtId="0" fontId="20" fillId="6" borderId="15" xfId="0" applyFont="1" applyFill="1" applyBorder="1"/>
    <xf numFmtId="10" fontId="20" fillId="6" borderId="15" xfId="0" applyNumberFormat="1" applyFont="1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9" fontId="17" fillId="0" borderId="15" xfId="0" applyNumberFormat="1" applyFont="1" applyBorder="1" applyAlignment="1">
      <alignment horizontal="center"/>
    </xf>
    <xf numFmtId="10" fontId="7" fillId="0" borderId="15" xfId="0" applyNumberFormat="1" applyFont="1" applyBorder="1" applyAlignment="1">
      <alignment horizontal="center" vertical="center"/>
    </xf>
    <xf numFmtId="0" fontId="16" fillId="0" borderId="0" xfId="0" applyFont="1"/>
    <xf numFmtId="0" fontId="23" fillId="4" borderId="15" xfId="0" applyFont="1" applyFill="1" applyBorder="1" applyAlignment="1">
      <alignment horizontal="center"/>
    </xf>
    <xf numFmtId="0" fontId="24" fillId="4" borderId="15" xfId="0" applyFont="1" applyFill="1" applyBorder="1" applyAlignment="1">
      <alignment horizontal="center"/>
    </xf>
    <xf numFmtId="9" fontId="20" fillId="0" borderId="15" xfId="0" applyNumberFormat="1" applyFont="1" applyBorder="1" applyAlignment="1">
      <alignment horizontal="center"/>
    </xf>
    <xf numFmtId="0" fontId="23" fillId="5" borderId="15" xfId="0" applyFont="1" applyFill="1" applyBorder="1" applyAlignment="1">
      <alignment horizontal="center"/>
    </xf>
    <xf numFmtId="1" fontId="17" fillId="5" borderId="15" xfId="0" applyNumberFormat="1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3" fillId="8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5" fillId="8" borderId="14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3" fillId="8" borderId="14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0" fillId="7" borderId="14" xfId="0" applyFont="1" applyFill="1" applyBorder="1" applyAlignment="1">
      <alignment horizontal="center" vertical="center" wrapText="1"/>
    </xf>
    <xf numFmtId="10" fontId="10" fillId="7" borderId="1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3" fillId="4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2" borderId="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 wrapText="1"/>
    </xf>
    <xf numFmtId="10" fontId="4" fillId="7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E1"/>
    </sheetView>
  </sheetViews>
  <sheetFormatPr defaultColWidth="12.625" defaultRowHeight="15" customHeight="1"/>
  <cols>
    <col min="1" max="1" width="9.5" customWidth="1"/>
    <col min="2" max="4" width="9.375" customWidth="1"/>
    <col min="5" max="5" width="11.375" customWidth="1"/>
    <col min="6" max="21" width="9.375" customWidth="1"/>
  </cols>
  <sheetData>
    <row r="1" spans="1:26" ht="18" customHeight="1">
      <c r="A1" s="127" t="s">
        <v>0</v>
      </c>
      <c r="B1" s="115"/>
      <c r="C1" s="115"/>
      <c r="D1" s="115"/>
      <c r="E1" s="1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27" t="s">
        <v>1</v>
      </c>
      <c r="B2" s="115"/>
      <c r="C2" s="115"/>
      <c r="D2" s="115"/>
      <c r="E2" s="1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27" t="s">
        <v>2</v>
      </c>
      <c r="B3" s="115"/>
      <c r="C3" s="115"/>
      <c r="D3" s="115"/>
      <c r="E3" s="116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27" t="s">
        <v>3</v>
      </c>
      <c r="B4" s="115"/>
      <c r="C4" s="115"/>
      <c r="D4" s="115"/>
      <c r="E4" s="116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27" t="s">
        <v>4</v>
      </c>
      <c r="B5" s="115"/>
      <c r="C5" s="115"/>
      <c r="D5" s="115"/>
      <c r="E5" s="116"/>
      <c r="F5" s="2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3"/>
      <c r="B6" s="3"/>
      <c r="C6" s="3"/>
      <c r="D6" s="3"/>
      <c r="E6" s="3"/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19" t="s">
        <v>5</v>
      </c>
      <c r="B7" s="120"/>
      <c r="C7" s="120"/>
      <c r="D7" s="120"/>
      <c r="E7" s="120"/>
      <c r="F7" s="120"/>
      <c r="G7" s="120"/>
      <c r="H7" s="120"/>
      <c r="I7" s="12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20"/>
      <c r="B8" s="120"/>
      <c r="C8" s="120"/>
      <c r="D8" s="120"/>
      <c r="E8" s="120"/>
      <c r="F8" s="120"/>
      <c r="G8" s="120"/>
      <c r="H8" s="120"/>
      <c r="I8" s="12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4"/>
      <c r="B9" s="4"/>
      <c r="C9" s="4"/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21" t="s">
        <v>6</v>
      </c>
      <c r="B10" s="122"/>
      <c r="C10" s="122"/>
      <c r="D10" s="122"/>
      <c r="E10" s="122"/>
      <c r="F10" s="122"/>
      <c r="G10" s="122"/>
      <c r="H10" s="123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24"/>
      <c r="B11" s="125"/>
      <c r="C11" s="125"/>
      <c r="D11" s="125"/>
      <c r="E11" s="125"/>
      <c r="F11" s="125"/>
      <c r="G11" s="125"/>
      <c r="H11" s="126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6"/>
      <c r="B12" s="6"/>
      <c r="C12" s="6"/>
      <c r="D12" s="6"/>
      <c r="E12" s="6"/>
      <c r="F12" s="6"/>
      <c r="G12" s="6"/>
      <c r="H12" s="6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19" t="s">
        <v>7</v>
      </c>
      <c r="B13" s="120"/>
      <c r="C13" s="120"/>
      <c r="D13" s="120"/>
      <c r="E13" s="120"/>
      <c r="F13" s="120"/>
      <c r="G13" s="120"/>
      <c r="H13" s="120"/>
      <c r="I13" s="12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28" t="s">
        <v>8</v>
      </c>
      <c r="B14" s="122"/>
      <c r="C14" s="122"/>
      <c r="D14" s="122"/>
      <c r="E14" s="122"/>
      <c r="F14" s="122"/>
      <c r="G14" s="122"/>
      <c r="H14" s="122"/>
      <c r="I14" s="12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24"/>
      <c r="B15" s="125"/>
      <c r="C15" s="125"/>
      <c r="D15" s="125"/>
      <c r="E15" s="125"/>
      <c r="F15" s="125"/>
      <c r="G15" s="125"/>
      <c r="H15" s="125"/>
      <c r="I15" s="12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8" t="s">
        <v>9</v>
      </c>
      <c r="B16" s="8"/>
      <c r="C16" s="8"/>
      <c r="D16" s="8"/>
      <c r="E16" s="8"/>
      <c r="F16" s="8"/>
      <c r="G16" s="8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7"/>
      <c r="B17" s="7"/>
      <c r="C17" s="7"/>
      <c r="D17" s="7"/>
      <c r="E17" s="7"/>
      <c r="F17" s="7"/>
      <c r="G17" s="7"/>
      <c r="H17" s="7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29" t="s">
        <v>10</v>
      </c>
      <c r="B18" s="122"/>
      <c r="C18" s="122"/>
      <c r="D18" s="122"/>
      <c r="E18" s="122"/>
      <c r="F18" s="122"/>
      <c r="G18" s="122"/>
      <c r="H18" s="122"/>
      <c r="I18" s="12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24"/>
      <c r="B19" s="125"/>
      <c r="C19" s="125"/>
      <c r="D19" s="125"/>
      <c r="E19" s="125"/>
      <c r="F19" s="125"/>
      <c r="G19" s="125"/>
      <c r="H19" s="125"/>
      <c r="I19" s="12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19" t="s">
        <v>11</v>
      </c>
      <c r="B20" s="120"/>
      <c r="C20" s="120"/>
      <c r="D20" s="120"/>
      <c r="E20" s="120"/>
      <c r="F20" s="120"/>
      <c r="G20" s="120"/>
      <c r="H20" s="120"/>
      <c r="I20" s="12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20"/>
      <c r="B21" s="120"/>
      <c r="C21" s="120"/>
      <c r="D21" s="120"/>
      <c r="E21" s="120"/>
      <c r="F21" s="120"/>
      <c r="G21" s="120"/>
      <c r="H21" s="120"/>
      <c r="I21" s="12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19" t="s">
        <v>12</v>
      </c>
      <c r="B22" s="120"/>
      <c r="C22" s="120"/>
      <c r="D22" s="120"/>
      <c r="E22" s="120"/>
      <c r="F22" s="120"/>
      <c r="G22" s="120"/>
      <c r="H22" s="120"/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20"/>
      <c r="B23" s="120"/>
      <c r="C23" s="120"/>
      <c r="D23" s="120"/>
      <c r="E23" s="120"/>
      <c r="F23" s="120"/>
      <c r="G23" s="120"/>
      <c r="H23" s="120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20"/>
      <c r="B24" s="120"/>
      <c r="C24" s="120"/>
      <c r="D24" s="120"/>
      <c r="E24" s="120"/>
      <c r="F24" s="120"/>
      <c r="G24" s="120"/>
      <c r="H24" s="120"/>
      <c r="I24" s="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20"/>
      <c r="B25" s="120"/>
      <c r="C25" s="120"/>
      <c r="D25" s="120"/>
      <c r="E25" s="120"/>
      <c r="F25" s="120"/>
      <c r="G25" s="120"/>
      <c r="H25" s="120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20"/>
      <c r="B26" s="120"/>
      <c r="C26" s="120"/>
      <c r="D26" s="120"/>
      <c r="E26" s="120"/>
      <c r="F26" s="120"/>
      <c r="G26" s="120"/>
      <c r="H26" s="120"/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7"/>
      <c r="B27" s="7"/>
      <c r="C27" s="7"/>
      <c r="D27" s="7"/>
      <c r="E27" s="7"/>
      <c r="F27" s="7"/>
      <c r="G27" s="7"/>
      <c r="H27" s="7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9" t="s">
        <v>13</v>
      </c>
      <c r="B28" s="9"/>
      <c r="C28" s="9"/>
      <c r="D28" s="9"/>
      <c r="E28" s="9"/>
      <c r="F28" s="9"/>
      <c r="G28" s="9"/>
      <c r="H28" s="9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0:26" ht="18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0:26" ht="18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0:26" ht="18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0:26" ht="18" customHeight="1"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0:26" ht="18" customHeight="1"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0:26" ht="18" customHeight="1"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0:26" ht="18" customHeight="1"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0:26" ht="18" customHeight="1"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0:26" ht="18" customHeight="1"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0:26" ht="18" customHeight="1"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0:26" ht="18" customHeight="1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0:26" ht="18" customHeight="1"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0:26" ht="18" customHeight="1"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0:26" ht="18" customHeight="1"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0:26" ht="18" customHeight="1"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0:26" ht="18" customHeight="1"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0:26" ht="18" customHeight="1"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0:26" ht="18" customHeight="1"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0:26" ht="18" customHeight="1"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0:26" ht="18" customHeight="1"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0:26" ht="18" customHeight="1"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0:26" ht="18" customHeight="1"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0:26" ht="18" customHeight="1"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0:26" ht="18" customHeight="1"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0:26" ht="18" customHeight="1"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0:26" ht="18" customHeight="1"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0:26" ht="18" customHeight="1"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0:26" ht="18" customHeight="1"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0:26" ht="18" customHeight="1"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0:26" ht="18" customHeight="1"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0:26" ht="18" customHeight="1"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0:26" ht="18" customHeight="1"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0:26" ht="18" customHeight="1"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0:26" ht="18" customHeight="1"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0:26" ht="18" customHeight="1"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0:26" ht="18" customHeight="1"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0:26" ht="18" customHeight="1"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0:26" ht="18" customHeight="1"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0:26" ht="18" customHeight="1"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0:26" ht="18" customHeight="1"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0:26" ht="18" customHeight="1"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0:26" ht="18" customHeight="1"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0:26" ht="18" customHeight="1"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0:26" ht="18" customHeight="1"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0:26" ht="18" customHeight="1"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0:26" ht="18" customHeight="1"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0:26" ht="18" customHeight="1"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0:26" ht="18" customHeight="1"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0:26" ht="18" customHeight="1"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0:26" ht="18" customHeight="1"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0:26" ht="18" customHeight="1"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0:26" ht="18" customHeight="1"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0:26" ht="18" customHeight="1"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0:26" ht="18" customHeight="1"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0:26" ht="18" customHeight="1"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0:26" ht="18" customHeight="1"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0:26" ht="18" customHeight="1"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0:26" ht="18" customHeight="1"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0:26" ht="18" customHeight="1"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0:26" ht="18" customHeight="1"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0:26" ht="18" customHeight="1"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0:26" ht="18" customHeight="1"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0:26" ht="18" customHeight="1"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0:26" ht="18" customHeight="1"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0:26" ht="18" customHeight="1"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0:26" ht="18" customHeight="1"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0:26" ht="18" customHeight="1"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0:26" ht="18" customHeight="1"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0:26" ht="18" customHeight="1"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0:26" ht="18" customHeight="1"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0:26" ht="18" customHeight="1"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0:26" ht="18" customHeight="1"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0:26" ht="18" customHeight="1"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0:26" ht="18" customHeight="1"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0:26" ht="18" customHeight="1"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0:26" ht="18" customHeight="1"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0:26" ht="18" customHeight="1"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0:26" ht="18" customHeight="1"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0:26" ht="18" customHeight="1"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0:26" ht="18" customHeight="1"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0:26" ht="18" customHeight="1"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0:26" ht="18" customHeight="1"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0:26" ht="18" customHeight="1"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0:26" ht="18" customHeight="1"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0:26" ht="18" customHeight="1"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0:26" ht="18" customHeight="1"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0:26" ht="18" customHeight="1"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0:26" ht="18" customHeight="1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0:26" ht="18" customHeight="1"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0:26" ht="18" customHeight="1"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0:26" ht="18" customHeight="1"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0:26" ht="18" customHeight="1"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0:26" ht="18" customHeight="1"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0:26" ht="18" customHeight="1"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0:26" ht="18" customHeight="1"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0:26" ht="18" customHeight="1"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0:26" ht="18" customHeight="1"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0:26" ht="18" customHeight="1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0:26" ht="18" customHeight="1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0:26" ht="18" customHeight="1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0:26" ht="18" customHeight="1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0:26" ht="18" customHeight="1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0:26" ht="18" customHeight="1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0:26" ht="18" customHeight="1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0:26" ht="18" customHeight="1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0:26" ht="18" customHeight="1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0:26" ht="18" customHeight="1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0:26" ht="18" customHeight="1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0:26" ht="18" customHeight="1"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0:26" ht="18" customHeight="1"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0:26" ht="18" customHeight="1"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0:26" ht="18" customHeight="1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0:26" ht="18" customHeight="1"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0:26" ht="18" customHeight="1"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0:26" ht="18" customHeight="1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0:26" ht="18" customHeight="1"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0:26" ht="18" customHeight="1"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0:26" ht="18" customHeight="1"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0:26" ht="18" customHeight="1"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0:26" ht="18" customHeight="1"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0:26" ht="18" customHeight="1"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0:26" ht="18" customHeight="1"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0:26" ht="18" customHeight="1"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0:26" ht="18" customHeight="1"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0:26" ht="18" customHeight="1"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0:26" ht="18" customHeight="1"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0:26" ht="18" customHeight="1"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0:26" ht="18" customHeight="1"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0:26" ht="18" customHeight="1"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0:26" ht="18" customHeight="1"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0:26" ht="18" customHeight="1"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0:26" ht="18" customHeight="1"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0:26" ht="18" customHeight="1"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0:26" ht="18" customHeight="1"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0:26" ht="18" customHeight="1"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0:26" ht="18" customHeight="1"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0:26" ht="18" customHeight="1"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0:26" ht="18" customHeight="1"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0:26" ht="18" customHeight="1"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0:26" ht="18" customHeight="1"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0:26" ht="18" customHeight="1"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0:26" ht="18" customHeight="1"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0:26" ht="18" customHeight="1"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0:26" ht="18" customHeight="1"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0:26" ht="18" customHeight="1"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0:26" ht="18" customHeight="1"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0:26" ht="18" customHeight="1"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0:26" ht="18" customHeight="1"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0:26" ht="18" customHeight="1"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0:26" ht="18" customHeight="1"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0:26" ht="18" customHeight="1"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0:26" ht="18" customHeight="1"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0:26" ht="18" customHeight="1"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0:26" ht="18" customHeight="1"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0:26" ht="18" customHeight="1"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0:26" ht="18" customHeight="1"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0:26" ht="18" customHeight="1"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0:26" ht="18" customHeight="1"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0:26" ht="18" customHeight="1"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0:26" ht="18" customHeight="1"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0:26" ht="18" customHeight="1"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0:26" ht="18" customHeight="1"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0:26" ht="18" customHeight="1"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0:26" ht="18" customHeight="1"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0:26" ht="18" customHeight="1"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0:26" ht="18" customHeight="1"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0:26" ht="18" customHeight="1"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0:26" ht="18" customHeight="1"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0:26" ht="18" customHeight="1"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0:26" ht="18" customHeight="1"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0:26" ht="18" customHeight="1"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0:26" ht="18" customHeight="1"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0:26" ht="18" customHeight="1"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0:26" ht="18" customHeight="1"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0:26" ht="18" customHeight="1"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0:26" ht="18" customHeight="1"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0:26" ht="18" customHeight="1"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0:26" ht="18" customHeight="1"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0:26" ht="18" customHeight="1"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0:26" ht="18" customHeight="1"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0:26" ht="18" customHeight="1"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0:26" ht="18" customHeight="1"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0:26" ht="18" customHeight="1"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0:26" ht="18" customHeight="1"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0:26" ht="18" customHeight="1"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0:26" ht="18" customHeight="1"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0:26" ht="18" customHeight="1"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0:26" ht="18" customHeight="1"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0:26" ht="18" customHeight="1"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0:26" ht="18" customHeight="1"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0:26" ht="18" customHeight="1"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0:26" ht="18" customHeight="1"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0:26" ht="18" customHeight="1"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0:26" ht="18" customHeight="1"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0:26" ht="18" customHeight="1"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0:26" ht="18" customHeight="1"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0:26" ht="15.75" customHeight="1"/>
    <row r="230" spans="10:26" ht="15.75" customHeight="1"/>
    <row r="231" spans="10:26" ht="15.75" customHeight="1"/>
    <row r="232" spans="10:26" ht="15.75" customHeight="1"/>
    <row r="233" spans="10:26" ht="15.75" customHeight="1"/>
    <row r="234" spans="10:26" ht="15.75" customHeight="1"/>
    <row r="235" spans="10:26" ht="15.75" customHeight="1"/>
    <row r="236" spans="10:26" ht="15.75" customHeight="1"/>
    <row r="237" spans="10:26" ht="15.75" customHeight="1"/>
    <row r="238" spans="10:26" ht="15.75" customHeight="1"/>
    <row r="239" spans="10:26" ht="15.75" customHeight="1"/>
    <row r="240" spans="10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3:I13"/>
    <mergeCell ref="A14:I15"/>
    <mergeCell ref="A18:I19"/>
    <mergeCell ref="A20:I21"/>
    <mergeCell ref="A22:H26"/>
    <mergeCell ref="A7:I8"/>
    <mergeCell ref="A10:H11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4"/>
  <sheetViews>
    <sheetView tabSelected="1" zoomScale="70" zoomScaleNormal="70" workbookViewId="0">
      <selection activeCell="H13" sqref="H13"/>
    </sheetView>
  </sheetViews>
  <sheetFormatPr defaultColWidth="12.625" defaultRowHeight="15" customHeight="1"/>
  <cols>
    <col min="1" max="1" width="2.875" customWidth="1"/>
    <col min="2" max="2" width="33.25" customWidth="1"/>
    <col min="3" max="3" width="10.625" customWidth="1"/>
    <col min="4" max="13" width="28.625" customWidth="1"/>
    <col min="14" max="14" width="2.5" customWidth="1"/>
    <col min="15" max="27" width="7.625" customWidth="1"/>
    <col min="28" max="28" width="9" customWidth="1"/>
  </cols>
  <sheetData>
    <row r="1" spans="1:28" ht="15" customHeight="1">
      <c r="A1" s="113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5.75">
      <c r="A2" s="109"/>
      <c r="B2" s="11" t="s">
        <v>14</v>
      </c>
      <c r="C2" s="12" t="s">
        <v>15</v>
      </c>
      <c r="D2" s="13" t="s">
        <v>16</v>
      </c>
      <c r="E2" s="13" t="s">
        <v>17</v>
      </c>
      <c r="F2" s="13" t="s">
        <v>18</v>
      </c>
      <c r="G2" s="13" t="s">
        <v>19</v>
      </c>
      <c r="H2" s="13" t="s">
        <v>20</v>
      </c>
      <c r="I2" s="13" t="s">
        <v>21</v>
      </c>
      <c r="J2" s="13" t="s">
        <v>22</v>
      </c>
      <c r="K2" s="14"/>
      <c r="L2" s="14"/>
      <c r="M2" s="14"/>
      <c r="N2" s="112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5"/>
    </row>
    <row r="3" spans="1:28" ht="15.75">
      <c r="A3" s="110"/>
      <c r="B3" s="16" t="s">
        <v>23</v>
      </c>
      <c r="C3" s="17">
        <v>0</v>
      </c>
      <c r="D3" s="18" t="s">
        <v>73</v>
      </c>
      <c r="E3" s="16" t="s">
        <v>23</v>
      </c>
      <c r="F3" s="18" t="s">
        <v>73</v>
      </c>
      <c r="G3" s="16" t="s">
        <v>23</v>
      </c>
      <c r="H3" s="18" t="s">
        <v>73</v>
      </c>
      <c r="I3" s="16" t="s">
        <v>74</v>
      </c>
      <c r="J3" s="18" t="s">
        <v>73</v>
      </c>
      <c r="K3" s="14"/>
      <c r="L3" s="14"/>
      <c r="M3" s="14"/>
      <c r="N3" s="110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5"/>
    </row>
    <row r="4" spans="1:28" ht="15.75">
      <c r="A4" s="110"/>
      <c r="B4" s="16" t="s">
        <v>68</v>
      </c>
      <c r="C4" s="17">
        <v>4.1666666666666699E-2</v>
      </c>
      <c r="D4" s="16" t="s">
        <v>23</v>
      </c>
      <c r="E4" s="18" t="s">
        <v>73</v>
      </c>
      <c r="F4" s="18" t="s">
        <v>73</v>
      </c>
      <c r="G4" s="18" t="s">
        <v>73</v>
      </c>
      <c r="H4" s="16" t="s">
        <v>74</v>
      </c>
      <c r="I4" s="18" t="s">
        <v>73</v>
      </c>
      <c r="J4" s="18" t="s">
        <v>72</v>
      </c>
      <c r="K4" s="14"/>
      <c r="L4" s="14"/>
      <c r="M4" s="14"/>
      <c r="N4" s="110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5"/>
    </row>
    <row r="5" spans="1:28" ht="15.75">
      <c r="A5" s="110"/>
      <c r="B5" s="16" t="s">
        <v>69</v>
      </c>
      <c r="C5" s="17">
        <v>8.3333333333333301E-2</v>
      </c>
      <c r="D5" s="18"/>
      <c r="E5" s="16"/>
      <c r="F5" s="18"/>
      <c r="G5" s="16"/>
      <c r="H5" s="16"/>
      <c r="I5" s="18" t="s">
        <v>72</v>
      </c>
      <c r="J5" s="18" t="s">
        <v>73</v>
      </c>
      <c r="K5" s="14"/>
      <c r="L5" s="14"/>
      <c r="M5" s="14"/>
      <c r="N5" s="110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5"/>
    </row>
    <row r="6" spans="1:28" ht="15.75">
      <c r="A6" s="110"/>
      <c r="B6" s="16" t="s">
        <v>70</v>
      </c>
      <c r="C6" s="17">
        <v>0.125</v>
      </c>
      <c r="D6" s="18"/>
      <c r="E6" s="18"/>
      <c r="F6" s="18"/>
      <c r="G6" s="18"/>
      <c r="H6" s="18"/>
      <c r="I6" s="18" t="s">
        <v>73</v>
      </c>
      <c r="J6" s="16" t="s">
        <v>74</v>
      </c>
      <c r="K6" s="14"/>
      <c r="L6" s="14"/>
      <c r="M6" s="14"/>
      <c r="N6" s="110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5"/>
    </row>
    <row r="7" spans="1:28" ht="15.75">
      <c r="A7" s="110"/>
      <c r="B7" s="16"/>
      <c r="C7" s="17">
        <v>0.16666666666666699</v>
      </c>
      <c r="D7" s="16"/>
      <c r="E7" s="18"/>
      <c r="F7" s="16"/>
      <c r="G7" s="18"/>
      <c r="H7" s="18"/>
      <c r="I7" s="16" t="s">
        <v>69</v>
      </c>
      <c r="J7" s="16" t="s">
        <v>69</v>
      </c>
      <c r="K7" s="14"/>
      <c r="L7" s="14"/>
      <c r="M7" s="14"/>
      <c r="N7" s="110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5"/>
    </row>
    <row r="8" spans="1:28" ht="15.75">
      <c r="A8" s="110"/>
      <c r="B8" s="16"/>
      <c r="C8" s="17"/>
      <c r="D8" s="19"/>
      <c r="E8" s="19"/>
      <c r="F8" s="19"/>
      <c r="G8" s="19"/>
      <c r="H8" s="19"/>
      <c r="I8" s="20"/>
      <c r="J8" s="19"/>
      <c r="K8" s="14"/>
      <c r="L8" s="14"/>
      <c r="M8" s="14"/>
      <c r="N8" s="110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5"/>
    </row>
    <row r="9" spans="1:28" ht="15.75">
      <c r="A9" s="110"/>
      <c r="B9" s="11" t="s">
        <v>24</v>
      </c>
      <c r="C9" s="21"/>
      <c r="D9" s="22"/>
      <c r="E9" s="22"/>
      <c r="F9" s="23"/>
      <c r="G9" s="24"/>
      <c r="H9" s="22"/>
      <c r="I9" s="23"/>
      <c r="J9" s="25"/>
      <c r="K9" s="14"/>
      <c r="L9" s="14"/>
      <c r="M9" s="14"/>
      <c r="N9" s="110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5"/>
    </row>
    <row r="10" spans="1:28" ht="15.75">
      <c r="A10" s="110"/>
      <c r="B10" s="18" t="s">
        <v>71</v>
      </c>
      <c r="C10" s="21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110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5.75">
      <c r="A11" s="110"/>
      <c r="B11" s="18" t="s">
        <v>72</v>
      </c>
      <c r="C11" s="21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110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5.75">
      <c r="A12" s="110"/>
      <c r="B12" s="18" t="s">
        <v>73</v>
      </c>
      <c r="C12" s="21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110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5.75">
      <c r="A13" s="110"/>
      <c r="B13" s="18"/>
      <c r="C13" s="21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110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5.75">
      <c r="A14" s="110"/>
      <c r="B14" s="18"/>
      <c r="C14" s="21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110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5.75">
      <c r="A15" s="110"/>
      <c r="B15" s="18"/>
      <c r="C15" s="21"/>
      <c r="D15" s="114" t="s">
        <v>25</v>
      </c>
      <c r="E15" s="115"/>
      <c r="F15" s="115"/>
      <c r="G15" s="115"/>
      <c r="H15" s="116"/>
      <c r="I15" s="114" t="s">
        <v>26</v>
      </c>
      <c r="J15" s="115"/>
      <c r="K15" s="115"/>
      <c r="L15" s="115"/>
      <c r="M15" s="116"/>
      <c r="N15" s="110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5.75">
      <c r="A16" s="110"/>
      <c r="B16" s="18"/>
      <c r="C16" s="21"/>
      <c r="D16" s="13" t="s">
        <v>27</v>
      </c>
      <c r="E16" s="27" t="s">
        <v>28</v>
      </c>
      <c r="F16" s="27" t="s">
        <v>29</v>
      </c>
      <c r="G16" s="27" t="s">
        <v>30</v>
      </c>
      <c r="H16" s="27" t="s">
        <v>31</v>
      </c>
      <c r="I16" s="13" t="s">
        <v>27</v>
      </c>
      <c r="J16" s="27" t="s">
        <v>28</v>
      </c>
      <c r="K16" s="27" t="s">
        <v>29</v>
      </c>
      <c r="L16" s="27" t="s">
        <v>30</v>
      </c>
      <c r="M16" s="28" t="s">
        <v>31</v>
      </c>
      <c r="N16" s="110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5.75">
      <c r="A17" s="110"/>
      <c r="B17" s="18"/>
      <c r="C17" s="21"/>
      <c r="D17" s="16" t="s">
        <v>23</v>
      </c>
      <c r="E17" s="29">
        <v>3</v>
      </c>
      <c r="F17" s="30">
        <f t="shared" ref="F17:F22" si="0">E17/E$30</f>
        <v>0.15</v>
      </c>
      <c r="G17" s="31">
        <v>15</v>
      </c>
      <c r="H17" s="32">
        <f t="shared" ref="H17:H22" si="1">G17/H$30</f>
        <v>0.15</v>
      </c>
      <c r="I17" s="18" t="s">
        <v>71</v>
      </c>
      <c r="J17" s="29">
        <v>2</v>
      </c>
      <c r="K17" s="30">
        <f t="shared" ref="K17:K28" si="2">J17/E$30</f>
        <v>0.1</v>
      </c>
      <c r="L17" s="31">
        <v>10</v>
      </c>
      <c r="M17" s="32">
        <f t="shared" ref="M17:M28" si="3">L17/H$30</f>
        <v>0.1</v>
      </c>
      <c r="N17" s="110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5.75">
      <c r="A18" s="110"/>
      <c r="B18" s="18"/>
      <c r="C18" s="21"/>
      <c r="D18" s="16" t="s">
        <v>69</v>
      </c>
      <c r="E18" s="29">
        <v>2</v>
      </c>
      <c r="F18" s="30">
        <f t="shared" si="0"/>
        <v>0.1</v>
      </c>
      <c r="G18" s="31">
        <v>10</v>
      </c>
      <c r="H18" s="32">
        <f t="shared" si="1"/>
        <v>0.1</v>
      </c>
      <c r="I18" s="18" t="s">
        <v>72</v>
      </c>
      <c r="J18" s="29">
        <v>2</v>
      </c>
      <c r="K18" s="30">
        <f t="shared" si="2"/>
        <v>0.1</v>
      </c>
      <c r="L18" s="31">
        <v>10</v>
      </c>
      <c r="M18" s="32">
        <f t="shared" si="3"/>
        <v>0.1</v>
      </c>
      <c r="N18" s="110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5.75">
      <c r="A19" s="110"/>
      <c r="B19" s="33"/>
      <c r="C19" s="21"/>
      <c r="D19" s="16" t="s">
        <v>74</v>
      </c>
      <c r="E19" s="29">
        <v>1</v>
      </c>
      <c r="F19" s="30">
        <f t="shared" si="0"/>
        <v>0.05</v>
      </c>
      <c r="G19" s="31">
        <v>5</v>
      </c>
      <c r="H19" s="32">
        <f t="shared" si="1"/>
        <v>0.05</v>
      </c>
      <c r="I19" s="18" t="s">
        <v>73</v>
      </c>
      <c r="J19" s="29">
        <v>10</v>
      </c>
      <c r="K19" s="30">
        <f t="shared" si="2"/>
        <v>0.5</v>
      </c>
      <c r="L19" s="31">
        <v>50</v>
      </c>
      <c r="M19" s="32">
        <f t="shared" si="3"/>
        <v>0.5</v>
      </c>
      <c r="N19" s="110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5.75">
      <c r="A20" s="110"/>
      <c r="B20" s="33"/>
      <c r="C20" s="21"/>
      <c r="D20" s="16"/>
      <c r="E20" s="29"/>
      <c r="F20" s="30">
        <f t="shared" si="0"/>
        <v>0</v>
      </c>
      <c r="G20" s="31"/>
      <c r="H20" s="32">
        <f t="shared" si="1"/>
        <v>0</v>
      </c>
      <c r="I20" s="18"/>
      <c r="J20" s="29"/>
      <c r="K20" s="30">
        <f t="shared" si="2"/>
        <v>0</v>
      </c>
      <c r="L20" s="31"/>
      <c r="M20" s="32">
        <f t="shared" si="3"/>
        <v>0</v>
      </c>
      <c r="N20" s="110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5.75">
      <c r="A21" s="110"/>
      <c r="B21" s="33"/>
      <c r="C21" s="21"/>
      <c r="D21" s="16"/>
      <c r="E21" s="29"/>
      <c r="F21" s="30">
        <f t="shared" si="0"/>
        <v>0</v>
      </c>
      <c r="G21" s="31"/>
      <c r="H21" s="32">
        <f t="shared" si="1"/>
        <v>0</v>
      </c>
      <c r="I21" s="18"/>
      <c r="J21" s="29"/>
      <c r="K21" s="30">
        <f t="shared" si="2"/>
        <v>0</v>
      </c>
      <c r="L21" s="31"/>
      <c r="M21" s="32">
        <f t="shared" si="3"/>
        <v>0</v>
      </c>
      <c r="N21" s="110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5.75">
      <c r="A22" s="110"/>
      <c r="B22" s="14"/>
      <c r="C22" s="21"/>
      <c r="D22" s="16"/>
      <c r="E22" s="29"/>
      <c r="F22" s="30">
        <f t="shared" si="0"/>
        <v>0</v>
      </c>
      <c r="G22" s="31"/>
      <c r="H22" s="32">
        <f t="shared" si="1"/>
        <v>0</v>
      </c>
      <c r="I22" s="18"/>
      <c r="J22" s="29"/>
      <c r="K22" s="30">
        <f t="shared" si="2"/>
        <v>0</v>
      </c>
      <c r="L22" s="34"/>
      <c r="M22" s="32">
        <f t="shared" si="3"/>
        <v>0</v>
      </c>
      <c r="N22" s="110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5.75">
      <c r="A23" s="110"/>
      <c r="B23" s="14"/>
      <c r="C23" s="21"/>
      <c r="D23" s="16"/>
      <c r="E23" s="29"/>
      <c r="F23" s="30"/>
      <c r="G23" s="31"/>
      <c r="H23" s="32"/>
      <c r="I23" s="18"/>
      <c r="J23" s="29"/>
      <c r="K23" s="30">
        <f t="shared" si="2"/>
        <v>0</v>
      </c>
      <c r="L23" s="34"/>
      <c r="M23" s="32">
        <f t="shared" si="3"/>
        <v>0</v>
      </c>
      <c r="N23" s="110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5.75">
      <c r="A24" s="110"/>
      <c r="B24" s="117" t="s">
        <v>32</v>
      </c>
      <c r="C24" s="21"/>
      <c r="D24" s="16"/>
      <c r="E24" s="29"/>
      <c r="F24" s="30">
        <f t="shared" ref="F24:F28" si="4">E24/E$30</f>
        <v>0</v>
      </c>
      <c r="G24" s="31"/>
      <c r="H24" s="32">
        <f t="shared" ref="H24:H28" si="5">G24/H$30</f>
        <v>0</v>
      </c>
      <c r="I24" s="18"/>
      <c r="J24" s="29"/>
      <c r="K24" s="30">
        <f t="shared" si="2"/>
        <v>0</v>
      </c>
      <c r="L24" s="34"/>
      <c r="M24" s="32">
        <f t="shared" si="3"/>
        <v>0</v>
      </c>
      <c r="N24" s="110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5.75" customHeight="1">
      <c r="A25" s="110"/>
      <c r="B25" s="111"/>
      <c r="C25" s="21"/>
      <c r="D25" s="16"/>
      <c r="E25" s="29"/>
      <c r="F25" s="30">
        <f t="shared" si="4"/>
        <v>0</v>
      </c>
      <c r="G25" s="31"/>
      <c r="H25" s="32">
        <f t="shared" si="5"/>
        <v>0</v>
      </c>
      <c r="I25" s="18"/>
      <c r="J25" s="29"/>
      <c r="K25" s="30">
        <f t="shared" si="2"/>
        <v>0</v>
      </c>
      <c r="L25" s="34"/>
      <c r="M25" s="32">
        <f t="shared" si="3"/>
        <v>0</v>
      </c>
      <c r="N25" s="110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5.75" customHeight="1">
      <c r="A26" s="110"/>
      <c r="B26" s="118">
        <f>1/C30</f>
        <v>0.05</v>
      </c>
      <c r="C26" s="21"/>
      <c r="D26" s="16"/>
      <c r="E26" s="29"/>
      <c r="F26" s="30">
        <f t="shared" si="4"/>
        <v>0</v>
      </c>
      <c r="G26" s="31"/>
      <c r="H26" s="32">
        <f t="shared" si="5"/>
        <v>0</v>
      </c>
      <c r="I26" s="18"/>
      <c r="J26" s="29"/>
      <c r="K26" s="30">
        <f t="shared" si="2"/>
        <v>0</v>
      </c>
      <c r="L26" s="34"/>
      <c r="M26" s="32">
        <f t="shared" si="3"/>
        <v>0</v>
      </c>
      <c r="N26" s="110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5.75" customHeight="1">
      <c r="A27" s="110"/>
      <c r="B27" s="111"/>
      <c r="C27" s="35"/>
      <c r="D27" s="16"/>
      <c r="E27" s="29"/>
      <c r="F27" s="30">
        <f t="shared" si="4"/>
        <v>0</v>
      </c>
      <c r="G27" s="34"/>
      <c r="H27" s="32">
        <f t="shared" si="5"/>
        <v>0</v>
      </c>
      <c r="I27" s="18"/>
      <c r="J27" s="29"/>
      <c r="K27" s="30">
        <f t="shared" si="2"/>
        <v>0</v>
      </c>
      <c r="L27" s="34"/>
      <c r="M27" s="32">
        <f t="shared" si="3"/>
        <v>0</v>
      </c>
      <c r="N27" s="110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5.75" customHeight="1">
      <c r="A28" s="110"/>
      <c r="B28" s="36"/>
      <c r="C28" s="14"/>
      <c r="D28" s="16"/>
      <c r="E28" s="29"/>
      <c r="F28" s="30">
        <f t="shared" si="4"/>
        <v>0</v>
      </c>
      <c r="G28" s="37"/>
      <c r="H28" s="32">
        <f t="shared" si="5"/>
        <v>0</v>
      </c>
      <c r="I28" s="18"/>
      <c r="J28" s="29"/>
      <c r="K28" s="30">
        <f t="shared" si="2"/>
        <v>0</v>
      </c>
      <c r="L28" s="34"/>
      <c r="M28" s="32">
        <f t="shared" si="3"/>
        <v>0</v>
      </c>
      <c r="N28" s="110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30">
      <c r="A29" s="110"/>
      <c r="B29" s="14" t="s">
        <v>33</v>
      </c>
      <c r="C29" s="38"/>
      <c r="D29" s="39" t="s">
        <v>34</v>
      </c>
      <c r="E29" s="40">
        <f>SUM(E17:E28)</f>
        <v>6</v>
      </c>
      <c r="F29" s="30">
        <f>E29/C$30</f>
        <v>0.3</v>
      </c>
      <c r="G29" s="41" t="s">
        <v>35</v>
      </c>
      <c r="H29" s="42">
        <f>SUM(H17:H28)</f>
        <v>0.3</v>
      </c>
      <c r="I29" s="39" t="s">
        <v>34</v>
      </c>
      <c r="J29" s="40">
        <f>SUM(J17:J28)</f>
        <v>14</v>
      </c>
      <c r="K29" s="30">
        <f>J29/C$30</f>
        <v>0.7</v>
      </c>
      <c r="L29" s="13" t="s">
        <v>36</v>
      </c>
      <c r="M29" s="42">
        <f>SUM(L17:L28)/H30</f>
        <v>0.7</v>
      </c>
      <c r="N29" s="110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5.75" customHeight="1">
      <c r="A30" s="110"/>
      <c r="B30" s="14" t="s">
        <v>37</v>
      </c>
      <c r="C30" s="14">
        <v>20</v>
      </c>
      <c r="D30" s="43" t="s">
        <v>38</v>
      </c>
      <c r="E30" s="44">
        <v>20</v>
      </c>
      <c r="F30" s="45">
        <f t="shared" ref="E30:F30" si="6">SUM(F29,K29)</f>
        <v>1</v>
      </c>
      <c r="G30" s="46" t="s">
        <v>39</v>
      </c>
      <c r="H30" s="47">
        <v>100</v>
      </c>
      <c r="I30" s="27"/>
      <c r="J30" s="28"/>
      <c r="K30" s="28"/>
      <c r="L30" s="48"/>
      <c r="M30" s="48"/>
      <c r="N30" s="110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5.75" customHeight="1">
      <c r="A31" s="110"/>
      <c r="B31" s="14" t="s">
        <v>40</v>
      </c>
      <c r="C31" s="49">
        <f>SUM(G17:G28)/H30</f>
        <v>0.3</v>
      </c>
      <c r="D31" s="39"/>
      <c r="E31" s="27"/>
      <c r="F31" s="13"/>
      <c r="G31" s="13"/>
      <c r="H31" s="27"/>
      <c r="I31" s="27"/>
      <c r="J31" s="28"/>
      <c r="K31" s="28"/>
      <c r="L31" s="48"/>
      <c r="M31" s="48"/>
      <c r="N31" s="110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5.75" customHeight="1">
      <c r="A32" s="110"/>
      <c r="B32" s="14" t="s">
        <v>26</v>
      </c>
      <c r="C32" s="49">
        <f>SUM(L17:L28)/H30</f>
        <v>0.7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0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5"/>
    </row>
    <row r="33" spans="1:28" ht="15.75" customHeight="1">
      <c r="A33" s="111"/>
      <c r="B33" s="106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8"/>
      <c r="N33" s="111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5"/>
    </row>
    <row r="34" spans="1:28" ht="15.75" customHeight="1">
      <c r="A34" s="1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10"/>
    </row>
    <row r="35" spans="1:28" ht="15.75" customHeight="1">
      <c r="A35" s="1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10"/>
    </row>
    <row r="36" spans="1:28" ht="15.75" customHeight="1">
      <c r="A36" s="1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10"/>
    </row>
    <row r="37" spans="1:28" ht="15.75" customHeight="1">
      <c r="A37" s="1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10"/>
    </row>
    <row r="38" spans="1:28" ht="15.75" customHeight="1">
      <c r="A38" s="1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10"/>
    </row>
    <row r="39" spans="1:28" ht="15.75" customHeight="1">
      <c r="A39" s="1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10"/>
    </row>
    <row r="40" spans="1:28" ht="15.75" customHeight="1">
      <c r="A40" s="1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10"/>
    </row>
    <row r="41" spans="1:28" ht="15.75" customHeight="1">
      <c r="A41" s="1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10"/>
    </row>
    <row r="42" spans="1:28" ht="15.75" customHeight="1">
      <c r="A42" s="1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10"/>
    </row>
    <row r="43" spans="1:28" ht="15.75" customHeight="1">
      <c r="A43" s="1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10"/>
    </row>
    <row r="44" spans="1:28" ht="15.75" customHeight="1">
      <c r="A44" s="1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10"/>
    </row>
    <row r="45" spans="1:28" ht="15.75" customHeight="1">
      <c r="A45" s="1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10"/>
    </row>
    <row r="46" spans="1:28" ht="15.75" customHeight="1">
      <c r="A46" s="1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10"/>
    </row>
    <row r="47" spans="1:28" ht="15.75" customHeight="1">
      <c r="A47" s="1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10"/>
    </row>
    <row r="48" spans="1:28" ht="15.75" customHeight="1">
      <c r="A48" s="1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10"/>
    </row>
    <row r="49" spans="1:28" ht="15.75" customHeight="1">
      <c r="A49" s="1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10"/>
    </row>
    <row r="50" spans="1:28" ht="15.75" customHeight="1">
      <c r="A50" s="1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10"/>
    </row>
    <row r="51" spans="1:28" ht="15.75" customHeight="1">
      <c r="A51" s="1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10"/>
    </row>
    <row r="52" spans="1:28" ht="15.75" customHeight="1">
      <c r="A52" s="1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10"/>
    </row>
    <row r="53" spans="1:28" ht="15.75" customHeight="1">
      <c r="A53" s="1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10"/>
    </row>
    <row r="54" spans="1:28" ht="15.75" customHeight="1">
      <c r="A54" s="1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10"/>
    </row>
    <row r="55" spans="1:28" ht="15.75" customHeight="1">
      <c r="A55" s="1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10"/>
    </row>
    <row r="56" spans="1:28" ht="15.75" customHeight="1">
      <c r="A56" s="1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10"/>
    </row>
    <row r="57" spans="1:28" ht="15.75" customHeight="1">
      <c r="A57" s="1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10"/>
    </row>
    <row r="58" spans="1:28" ht="15.75" customHeight="1">
      <c r="A58" s="1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10"/>
    </row>
    <row r="59" spans="1:28" ht="15.75" customHeight="1">
      <c r="A59" s="1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10"/>
    </row>
    <row r="60" spans="1:28" ht="15.75" customHeight="1">
      <c r="A60" s="1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10"/>
    </row>
    <row r="61" spans="1:28" ht="15.75" customHeight="1">
      <c r="A61" s="1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10"/>
    </row>
    <row r="62" spans="1:28" ht="15.75" customHeight="1">
      <c r="A62" s="1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10"/>
    </row>
    <row r="63" spans="1:28" ht="15.75" customHeight="1">
      <c r="A63" s="1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10"/>
    </row>
    <row r="64" spans="1:28" ht="15.75" customHeight="1">
      <c r="A64" s="1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10"/>
    </row>
    <row r="65" spans="1:28" ht="15.75" customHeight="1">
      <c r="A65" s="1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10"/>
    </row>
    <row r="66" spans="1:28" ht="15.75" customHeight="1">
      <c r="A66" s="1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10"/>
    </row>
    <row r="67" spans="1:28" ht="15.75" customHeight="1">
      <c r="A67" s="1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10"/>
    </row>
    <row r="68" spans="1:28" ht="15.75" customHeight="1">
      <c r="A68" s="1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10"/>
    </row>
    <row r="69" spans="1:28" ht="15.75" customHeight="1">
      <c r="A69" s="1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10"/>
    </row>
    <row r="70" spans="1:28" ht="15.75" customHeight="1">
      <c r="A70" s="1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10"/>
    </row>
    <row r="71" spans="1:28" ht="15.75" customHeight="1">
      <c r="A71" s="1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10"/>
    </row>
    <row r="72" spans="1:28" ht="15.75" customHeight="1">
      <c r="A72" s="1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10"/>
    </row>
    <row r="73" spans="1:28" ht="15.75" customHeight="1">
      <c r="A73" s="1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10"/>
    </row>
    <row r="74" spans="1:28" ht="15.75" customHeight="1">
      <c r="A74" s="1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10"/>
    </row>
    <row r="75" spans="1:28" ht="15.75" customHeight="1">
      <c r="A75" s="1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10"/>
    </row>
    <row r="76" spans="1:28" ht="15.75" customHeight="1">
      <c r="A76" s="1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10"/>
    </row>
    <row r="77" spans="1:28" ht="15.75" customHeight="1">
      <c r="A77" s="1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10"/>
    </row>
    <row r="78" spans="1:28" ht="15.75" customHeight="1">
      <c r="A78" s="1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10"/>
    </row>
    <row r="79" spans="1:28" ht="15.75" customHeight="1">
      <c r="A79" s="1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10"/>
    </row>
    <row r="80" spans="1:28" ht="15.75" customHeight="1">
      <c r="A80" s="1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10"/>
    </row>
    <row r="81" spans="1:28" ht="15.75" customHeight="1">
      <c r="A81" s="1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10"/>
    </row>
    <row r="82" spans="1:28" ht="15.75" customHeight="1">
      <c r="A82" s="1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10"/>
    </row>
    <row r="83" spans="1:28" ht="15.75" customHeight="1">
      <c r="A83" s="1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10"/>
    </row>
    <row r="84" spans="1:28" ht="15.75" customHeight="1">
      <c r="A84" s="1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10"/>
    </row>
    <row r="85" spans="1:28" ht="15.75" customHeight="1">
      <c r="A85" s="1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10"/>
    </row>
    <row r="86" spans="1:28" ht="15.75" customHeight="1">
      <c r="A86" s="1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10"/>
    </row>
    <row r="87" spans="1:28" ht="15.75" customHeight="1">
      <c r="A87" s="1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10"/>
    </row>
    <row r="88" spans="1:28" ht="15.75" customHeight="1">
      <c r="A88" s="1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10"/>
    </row>
    <row r="89" spans="1:28" ht="15.75" customHeight="1">
      <c r="A89" s="1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10"/>
    </row>
    <row r="90" spans="1:28" ht="15.75" customHeight="1">
      <c r="A90" s="1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10"/>
    </row>
    <row r="91" spans="1:28" ht="15.75" customHeight="1">
      <c r="A91" s="1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10"/>
    </row>
    <row r="92" spans="1:28" ht="15.75" customHeight="1">
      <c r="A92" s="1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10"/>
    </row>
    <row r="93" spans="1:28" ht="15.75" customHeight="1">
      <c r="A93" s="1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10"/>
    </row>
    <row r="94" spans="1:28" ht="15.75" customHeight="1">
      <c r="A94" s="1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10"/>
    </row>
    <row r="95" spans="1:28" ht="15.75" customHeight="1">
      <c r="A95" s="1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10"/>
    </row>
    <row r="96" spans="1:28" ht="15.75" customHeight="1">
      <c r="A96" s="1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10"/>
    </row>
    <row r="97" spans="1:28" ht="15.75" customHeight="1">
      <c r="A97" s="1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10"/>
    </row>
    <row r="98" spans="1:28" ht="15.75" customHeight="1">
      <c r="A98" s="1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10"/>
    </row>
    <row r="99" spans="1:28" ht="15.75" customHeight="1">
      <c r="A99" s="1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10"/>
    </row>
    <row r="100" spans="1:28" ht="15.75" customHeight="1">
      <c r="A100" s="1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10"/>
    </row>
    <row r="101" spans="1:28" ht="15.75" customHeight="1">
      <c r="A101" s="1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10"/>
    </row>
    <row r="102" spans="1:28" ht="15.75" customHeight="1">
      <c r="A102" s="1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10"/>
    </row>
    <row r="103" spans="1:28" ht="15.75" customHeight="1">
      <c r="A103" s="1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10"/>
    </row>
    <row r="104" spans="1:28" ht="15.75" customHeight="1">
      <c r="A104" s="1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10"/>
    </row>
    <row r="105" spans="1:28" ht="15.75" customHeight="1">
      <c r="A105" s="1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10"/>
    </row>
    <row r="106" spans="1:28" ht="15.75" customHeight="1">
      <c r="A106" s="1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10"/>
    </row>
    <row r="107" spans="1:28" ht="15.75" customHeight="1">
      <c r="A107" s="1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10"/>
    </row>
    <row r="108" spans="1:28" ht="15.75" customHeight="1">
      <c r="A108" s="1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10"/>
    </row>
    <row r="109" spans="1:28" ht="15.75" customHeight="1">
      <c r="A109" s="1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10"/>
    </row>
    <row r="110" spans="1:28" ht="15.75" customHeight="1">
      <c r="A110" s="1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10"/>
    </row>
    <row r="111" spans="1:28" ht="15.75" customHeight="1">
      <c r="A111" s="1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10"/>
    </row>
    <row r="112" spans="1:28" ht="15.75" customHeight="1">
      <c r="A112" s="1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10"/>
    </row>
    <row r="113" spans="1:28" ht="15.75" customHeight="1">
      <c r="A113" s="1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10"/>
    </row>
    <row r="114" spans="1:28" ht="15.75" customHeight="1">
      <c r="A114" s="1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10"/>
    </row>
    <row r="115" spans="1:28" ht="15.75" customHeight="1">
      <c r="A115" s="1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10"/>
    </row>
    <row r="116" spans="1:28" ht="15.75" customHeight="1">
      <c r="A116" s="1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10"/>
    </row>
    <row r="117" spans="1:28" ht="15.75" customHeight="1">
      <c r="A117" s="1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10"/>
    </row>
    <row r="118" spans="1:28" ht="15.75" customHeight="1">
      <c r="A118" s="1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10"/>
    </row>
    <row r="119" spans="1:28" ht="15.75" customHeight="1">
      <c r="A119" s="1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10"/>
    </row>
    <row r="120" spans="1:28" ht="15.75" customHeight="1">
      <c r="A120" s="1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10"/>
    </row>
    <row r="121" spans="1:28" ht="15.75" customHeight="1">
      <c r="A121" s="1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10"/>
    </row>
    <row r="122" spans="1:28" ht="15.75" customHeight="1">
      <c r="A122" s="1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10"/>
    </row>
    <row r="123" spans="1:28" ht="15.75" customHeight="1">
      <c r="A123" s="1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10"/>
    </row>
    <row r="124" spans="1:28" ht="15.75" customHeight="1">
      <c r="A124" s="1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10"/>
    </row>
    <row r="125" spans="1:28" ht="15.75" customHeight="1">
      <c r="A125" s="1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10"/>
    </row>
    <row r="126" spans="1:28" ht="15.75" customHeight="1">
      <c r="A126" s="1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10"/>
    </row>
    <row r="127" spans="1:28" ht="15.75" customHeight="1">
      <c r="A127" s="1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10"/>
    </row>
    <row r="128" spans="1:28" ht="15.75" customHeight="1">
      <c r="A128" s="1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10"/>
    </row>
    <row r="129" spans="1:28" ht="15.75" customHeight="1">
      <c r="A129" s="1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10"/>
    </row>
    <row r="130" spans="1:28" ht="15.75" customHeight="1">
      <c r="A130" s="1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10"/>
    </row>
    <row r="131" spans="1:28" ht="15.75" customHeight="1">
      <c r="A131" s="1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10"/>
    </row>
    <row r="132" spans="1:28" ht="15.75" customHeight="1">
      <c r="A132" s="1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10"/>
    </row>
    <row r="133" spans="1:28" ht="15.75" customHeight="1">
      <c r="A133" s="1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10"/>
    </row>
    <row r="134" spans="1:28" ht="15.75" customHeight="1">
      <c r="A134" s="1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10"/>
    </row>
    <row r="135" spans="1:28" ht="15.75" customHeight="1">
      <c r="A135" s="1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10"/>
    </row>
    <row r="136" spans="1:28" ht="15.75" customHeight="1">
      <c r="A136" s="1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10"/>
    </row>
    <row r="137" spans="1:28" ht="15.75" customHeight="1">
      <c r="A137" s="1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10"/>
    </row>
    <row r="138" spans="1:28" ht="15.75" customHeight="1">
      <c r="A138" s="1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10"/>
    </row>
    <row r="139" spans="1:28" ht="15.75" customHeight="1">
      <c r="A139" s="1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10"/>
    </row>
    <row r="140" spans="1:28" ht="15.75" customHeight="1">
      <c r="A140" s="1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10"/>
    </row>
    <row r="141" spans="1:28" ht="15.75" customHeight="1">
      <c r="A141" s="1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10"/>
    </row>
    <row r="142" spans="1:28" ht="15.75" customHeight="1">
      <c r="A142" s="1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10"/>
    </row>
    <row r="143" spans="1:28" ht="15.75" customHeight="1">
      <c r="A143" s="1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10"/>
    </row>
    <row r="144" spans="1:28" ht="15.75" customHeight="1">
      <c r="A144" s="1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10"/>
    </row>
    <row r="145" spans="1:28" ht="15.75" customHeight="1">
      <c r="A145" s="1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10"/>
    </row>
    <row r="146" spans="1:28" ht="15.75" customHeight="1">
      <c r="A146" s="1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10"/>
    </row>
    <row r="147" spans="1:28" ht="15.75" customHeight="1">
      <c r="A147" s="1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10"/>
    </row>
    <row r="148" spans="1:28" ht="15.75" customHeight="1">
      <c r="A148" s="1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10"/>
    </row>
    <row r="149" spans="1:28" ht="15.75" customHeight="1">
      <c r="A149" s="1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10"/>
    </row>
    <row r="150" spans="1:28" ht="15.75" customHeight="1">
      <c r="A150" s="1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10"/>
    </row>
    <row r="151" spans="1:28" ht="15.75" customHeight="1">
      <c r="A151" s="1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10"/>
    </row>
    <row r="152" spans="1:28" ht="15.75" customHeight="1">
      <c r="A152" s="1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10"/>
    </row>
    <row r="153" spans="1:28" ht="15.75" customHeight="1">
      <c r="A153" s="1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10"/>
    </row>
    <row r="154" spans="1:28" ht="15.75" customHeight="1">
      <c r="A154" s="1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10"/>
    </row>
    <row r="155" spans="1:28" ht="15.75" customHeight="1">
      <c r="A155" s="1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10"/>
    </row>
    <row r="156" spans="1:28" ht="15.75" customHeight="1">
      <c r="A156" s="1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10"/>
    </row>
    <row r="157" spans="1:28" ht="15.75" customHeight="1">
      <c r="A157" s="1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10"/>
    </row>
    <row r="158" spans="1:28" ht="15.75" customHeight="1">
      <c r="A158" s="1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10"/>
    </row>
    <row r="159" spans="1:28" ht="15.75" customHeight="1">
      <c r="A159" s="1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10"/>
    </row>
    <row r="160" spans="1:28" ht="15.75" customHeight="1">
      <c r="A160" s="1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10"/>
    </row>
    <row r="161" spans="1:28" ht="15.75" customHeight="1">
      <c r="A161" s="1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10"/>
    </row>
    <row r="162" spans="1:28" ht="15.75" customHeight="1">
      <c r="A162" s="1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10"/>
    </row>
    <row r="163" spans="1:28" ht="15.75" customHeight="1">
      <c r="A163" s="1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10"/>
    </row>
    <row r="164" spans="1:28" ht="15.75" customHeight="1">
      <c r="A164" s="1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10"/>
    </row>
    <row r="165" spans="1:28" ht="15.75" customHeight="1">
      <c r="A165" s="1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10"/>
    </row>
    <row r="166" spans="1:28" ht="15.75" customHeight="1">
      <c r="A166" s="1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10"/>
    </row>
    <row r="167" spans="1:28" ht="15.75" customHeight="1">
      <c r="A167" s="1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10"/>
    </row>
    <row r="168" spans="1:28" ht="15.75" customHeight="1">
      <c r="A168" s="1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10"/>
    </row>
    <row r="169" spans="1:28" ht="15.75" customHeight="1">
      <c r="A169" s="1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10"/>
    </row>
    <row r="170" spans="1:28" ht="15.75" customHeight="1">
      <c r="A170" s="1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10"/>
    </row>
    <row r="171" spans="1:28" ht="15.75" customHeight="1">
      <c r="A171" s="1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10"/>
    </row>
    <row r="172" spans="1:28" ht="15.75" customHeight="1">
      <c r="A172" s="1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10"/>
    </row>
    <row r="173" spans="1:28" ht="15.75" customHeight="1">
      <c r="A173" s="1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10"/>
    </row>
    <row r="174" spans="1:28" ht="15.75" customHeight="1">
      <c r="A174" s="1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10"/>
    </row>
    <row r="175" spans="1:28" ht="15.75" customHeight="1">
      <c r="A175" s="1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10"/>
    </row>
    <row r="176" spans="1:28" ht="15.75" customHeight="1">
      <c r="A176" s="1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10"/>
    </row>
    <row r="177" spans="1:28" ht="15.75" customHeight="1">
      <c r="A177" s="1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10"/>
    </row>
    <row r="178" spans="1:28" ht="15.75" customHeight="1">
      <c r="A178" s="1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10"/>
    </row>
    <row r="179" spans="1:28" ht="15.75" customHeight="1">
      <c r="A179" s="1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10"/>
    </row>
    <row r="180" spans="1:28" ht="15.75" customHeight="1">
      <c r="A180" s="1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10"/>
    </row>
    <row r="181" spans="1:28" ht="15.75" customHeight="1">
      <c r="A181" s="1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10"/>
    </row>
    <row r="182" spans="1:28" ht="15.75" customHeight="1">
      <c r="A182" s="1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10"/>
    </row>
    <row r="183" spans="1:28" ht="15.75" customHeight="1">
      <c r="A183" s="1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10"/>
    </row>
    <row r="184" spans="1:28" ht="15.75" customHeight="1">
      <c r="A184" s="1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10"/>
    </row>
    <row r="185" spans="1:28" ht="15.75" customHeight="1">
      <c r="A185" s="1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10"/>
    </row>
    <row r="186" spans="1:28" ht="15.75" customHeight="1">
      <c r="A186" s="1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10"/>
    </row>
    <row r="187" spans="1:28" ht="15.75" customHeight="1">
      <c r="A187" s="1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10"/>
    </row>
    <row r="188" spans="1:28" ht="15.75" customHeight="1">
      <c r="A188" s="1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10"/>
    </row>
    <row r="189" spans="1:28" ht="15.75" customHeight="1">
      <c r="A189" s="1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10"/>
    </row>
    <row r="190" spans="1:28" ht="15.75" customHeight="1">
      <c r="A190" s="1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10"/>
    </row>
    <row r="191" spans="1:28" ht="15.75" customHeight="1">
      <c r="A191" s="1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10"/>
    </row>
    <row r="192" spans="1:28" ht="15.75" customHeight="1">
      <c r="A192" s="1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10"/>
    </row>
    <row r="193" spans="1:28" ht="15.75" customHeight="1">
      <c r="A193" s="1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10"/>
    </row>
    <row r="194" spans="1:28" ht="15.75" customHeight="1">
      <c r="A194" s="1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10"/>
    </row>
    <row r="195" spans="1:28" ht="15.75" customHeight="1">
      <c r="A195" s="1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10"/>
    </row>
    <row r="196" spans="1:28" ht="15.75" customHeight="1">
      <c r="A196" s="1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10"/>
    </row>
    <row r="197" spans="1:28" ht="15.75" customHeight="1">
      <c r="A197" s="1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10"/>
    </row>
    <row r="198" spans="1:28" ht="15.75" customHeight="1">
      <c r="A198" s="1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10"/>
    </row>
    <row r="199" spans="1:28" ht="15.75" customHeight="1">
      <c r="A199" s="1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10"/>
    </row>
    <row r="200" spans="1:28" ht="15.75" customHeight="1">
      <c r="A200" s="1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10"/>
    </row>
    <row r="201" spans="1:28" ht="15.75" customHeight="1">
      <c r="A201" s="1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10"/>
    </row>
    <row r="202" spans="1:28" ht="15.75" customHeight="1">
      <c r="A202" s="1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10"/>
    </row>
    <row r="203" spans="1:28" ht="15.75" customHeight="1">
      <c r="A203" s="1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10"/>
    </row>
    <row r="204" spans="1:28" ht="15.75" customHeight="1">
      <c r="A204" s="1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10"/>
    </row>
    <row r="205" spans="1:28" ht="15.75" customHeight="1">
      <c r="A205" s="1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10"/>
    </row>
    <row r="206" spans="1:28" ht="15.75" customHeight="1">
      <c r="A206" s="1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10"/>
    </row>
    <row r="207" spans="1:28" ht="15.75" customHeight="1">
      <c r="A207" s="1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10"/>
    </row>
    <row r="208" spans="1:28" ht="15.75" customHeight="1">
      <c r="A208" s="1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10"/>
    </row>
    <row r="209" spans="1:28" ht="15.75" customHeight="1">
      <c r="A209" s="1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10"/>
    </row>
    <row r="210" spans="1:28" ht="15.75" customHeight="1">
      <c r="A210" s="1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10"/>
    </row>
    <row r="211" spans="1:28" ht="15.75" customHeight="1">
      <c r="A211" s="1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10"/>
    </row>
    <row r="212" spans="1:28" ht="15.75" customHeight="1">
      <c r="A212" s="1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10"/>
    </row>
    <row r="213" spans="1:28" ht="15.75" customHeight="1">
      <c r="A213" s="1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10"/>
    </row>
    <row r="214" spans="1:28" ht="15.75" customHeight="1">
      <c r="A214" s="1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10"/>
    </row>
    <row r="215" spans="1:28" ht="15.75" customHeight="1">
      <c r="A215" s="1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10"/>
    </row>
    <row r="216" spans="1:28" ht="15.75" customHeight="1">
      <c r="A216" s="1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10"/>
    </row>
    <row r="217" spans="1:28" ht="15.75" customHeight="1">
      <c r="A217" s="1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10"/>
    </row>
    <row r="218" spans="1:28" ht="15.75" customHeight="1">
      <c r="A218" s="1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10"/>
    </row>
    <row r="219" spans="1:28" ht="15.75" customHeight="1">
      <c r="A219" s="1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10"/>
    </row>
    <row r="220" spans="1:28" ht="15.75" customHeight="1">
      <c r="A220" s="1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10"/>
    </row>
    <row r="221" spans="1:28" ht="15.75" customHeight="1">
      <c r="A221" s="1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10"/>
    </row>
    <row r="222" spans="1:28" ht="15.75" customHeight="1">
      <c r="A222" s="1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10"/>
    </row>
    <row r="223" spans="1:28" ht="15.75" customHeight="1">
      <c r="A223" s="1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10"/>
    </row>
    <row r="224" spans="1:28" ht="15.75" customHeight="1">
      <c r="A224" s="1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10"/>
    </row>
    <row r="225" spans="1:28" ht="15.75" customHeight="1">
      <c r="A225" s="1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10"/>
    </row>
    <row r="226" spans="1:28" ht="15.75" customHeight="1">
      <c r="A226" s="1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10"/>
    </row>
    <row r="227" spans="1:28" ht="15.75" customHeight="1">
      <c r="A227" s="1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10"/>
    </row>
    <row r="228" spans="1:28" ht="15.75" customHeight="1">
      <c r="A228" s="1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10"/>
    </row>
    <row r="229" spans="1:28" ht="15.75" customHeight="1">
      <c r="A229" s="1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10"/>
    </row>
    <row r="230" spans="1:28" ht="15.75" customHeight="1">
      <c r="A230" s="1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10"/>
    </row>
    <row r="231" spans="1:28" ht="15.75" customHeight="1">
      <c r="A231" s="1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10"/>
    </row>
    <row r="232" spans="1:28" ht="15.75" customHeight="1">
      <c r="A232" s="1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10"/>
    </row>
    <row r="233" spans="1:28" ht="15.75" customHeight="1">
      <c r="A233" s="10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.75" customHeight="1">
      <c r="A234" s="10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.75" customHeight="1">
      <c r="A235" s="10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.75" customHeight="1">
      <c r="A236" s="10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.75" customHeight="1">
      <c r="A237" s="10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.75" customHeight="1">
      <c r="A238" s="10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.75" customHeight="1">
      <c r="A239" s="10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.75" customHeight="1">
      <c r="A240" s="10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.75" customHeight="1">
      <c r="A241" s="10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.75" customHeight="1">
      <c r="A242" s="10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.75" customHeight="1">
      <c r="A243" s="10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.75" customHeight="1">
      <c r="A244" s="10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.75" customHeight="1">
      <c r="A245" s="10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.75" customHeight="1">
      <c r="A246" s="10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.75" customHeight="1">
      <c r="A247" s="10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.75" customHeight="1">
      <c r="A248" s="10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.75" customHeight="1">
      <c r="A249" s="10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.75" customHeight="1">
      <c r="A250" s="10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.75" customHeight="1">
      <c r="A251" s="10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.75" customHeight="1">
      <c r="A252" s="10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.75" customHeight="1">
      <c r="A253" s="10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.75" customHeight="1">
      <c r="A254" s="10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.75" customHeight="1">
      <c r="A255" s="10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.75" customHeight="1">
      <c r="A256" s="10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.75" customHeight="1">
      <c r="A257" s="10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.75" customHeight="1">
      <c r="A258" s="10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.75" customHeight="1">
      <c r="A259" s="10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.75" customHeight="1">
      <c r="A260" s="10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.75" customHeight="1">
      <c r="A261" s="10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.75" customHeight="1">
      <c r="A262" s="10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.75" customHeight="1">
      <c r="A263" s="10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.75" customHeight="1">
      <c r="A264" s="10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.75" customHeight="1">
      <c r="A265" s="10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.75" customHeight="1">
      <c r="A266" s="10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.75" customHeight="1">
      <c r="A267" s="10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.75" customHeight="1">
      <c r="A268" s="10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.75" customHeight="1">
      <c r="A269" s="10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.75" customHeight="1">
      <c r="A270" s="10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.75" customHeight="1">
      <c r="A271" s="10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.75" customHeight="1">
      <c r="A272" s="10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.75" customHeight="1">
      <c r="A273" s="10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.75" customHeight="1">
      <c r="A274" s="10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.75" customHeight="1">
      <c r="A275" s="10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.75" customHeight="1">
      <c r="A276" s="10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.75" customHeight="1">
      <c r="A277" s="10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.75" customHeight="1">
      <c r="A278" s="10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.75" customHeight="1">
      <c r="A279" s="10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.75" customHeight="1">
      <c r="A280" s="10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.75" customHeight="1">
      <c r="A281" s="10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.75" customHeight="1">
      <c r="A282" s="10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.75" customHeight="1">
      <c r="A283" s="10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.75" customHeight="1">
      <c r="A284" s="10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.75" customHeight="1">
      <c r="A285" s="10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.75" customHeight="1">
      <c r="A286" s="10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.75" customHeight="1">
      <c r="A287" s="10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.75" customHeight="1">
      <c r="A288" s="10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.75" customHeight="1">
      <c r="A289" s="10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.75" customHeight="1">
      <c r="A290" s="10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.75" customHeight="1">
      <c r="A291" s="10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.75" customHeight="1">
      <c r="A292" s="10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.75" customHeight="1">
      <c r="A293" s="10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.75" customHeight="1">
      <c r="A294" s="10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.75" customHeight="1">
      <c r="A295" s="10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.75" customHeight="1">
      <c r="A296" s="10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.75" customHeight="1">
      <c r="A297" s="10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.75" customHeight="1">
      <c r="A298" s="10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.75" customHeight="1">
      <c r="A299" s="10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.75" customHeight="1">
      <c r="A300" s="10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.75" customHeight="1">
      <c r="A301" s="10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.75" customHeight="1">
      <c r="A302" s="10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.75" customHeight="1">
      <c r="A303" s="10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.75" customHeight="1">
      <c r="A304" s="10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.75" customHeight="1">
      <c r="A305" s="10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.75" customHeight="1">
      <c r="A306" s="10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.75" customHeight="1">
      <c r="A307" s="10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.75" customHeight="1">
      <c r="A308" s="10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.75" customHeight="1">
      <c r="A309" s="10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.75" customHeight="1">
      <c r="A310" s="10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.75" customHeight="1">
      <c r="A311" s="10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.75" customHeight="1">
      <c r="A312" s="10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.75" customHeight="1">
      <c r="A313" s="10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.75" customHeight="1">
      <c r="A314" s="10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.75" customHeight="1">
      <c r="A315" s="10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.75" customHeight="1">
      <c r="A316" s="10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.75" customHeight="1">
      <c r="A317" s="10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.75" customHeight="1">
      <c r="A318" s="10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.75" customHeight="1">
      <c r="A319" s="10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.75" customHeight="1">
      <c r="A320" s="10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.75" customHeight="1">
      <c r="A321" s="10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.75" customHeight="1">
      <c r="A322" s="10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.75" customHeight="1">
      <c r="A323" s="10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.75" customHeight="1">
      <c r="A324" s="10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.75" customHeight="1">
      <c r="A325" s="10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.75" customHeight="1">
      <c r="A326" s="10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.75" customHeight="1">
      <c r="A327" s="10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.75" customHeight="1">
      <c r="A328" s="10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.75" customHeight="1">
      <c r="A329" s="10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.75" customHeight="1">
      <c r="A330" s="10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.75" customHeight="1">
      <c r="A331" s="10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.75" customHeight="1">
      <c r="A332" s="10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.75" customHeight="1">
      <c r="A333" s="10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.75" customHeight="1">
      <c r="A334" s="10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.75" customHeight="1">
      <c r="A335" s="10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.75" customHeight="1">
      <c r="A336" s="10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.75" customHeight="1">
      <c r="A337" s="10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.75" customHeight="1">
      <c r="A338" s="10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.75" customHeight="1">
      <c r="A339" s="10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.75" customHeight="1">
      <c r="A340" s="10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.75" customHeight="1">
      <c r="A341" s="10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.75" customHeight="1">
      <c r="A342" s="10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.75" customHeight="1">
      <c r="A343" s="10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.75" customHeight="1">
      <c r="A344" s="10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.75" customHeight="1">
      <c r="A345" s="10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.75" customHeight="1">
      <c r="A346" s="10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.75" customHeight="1">
      <c r="A347" s="10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.75" customHeight="1">
      <c r="A348" s="10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.75" customHeight="1">
      <c r="A349" s="10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.75" customHeight="1">
      <c r="A350" s="10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.75" customHeight="1">
      <c r="A351" s="10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.75" customHeight="1">
      <c r="A352" s="10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.75" customHeight="1">
      <c r="A353" s="10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.75" customHeight="1">
      <c r="A354" s="10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.75" customHeight="1">
      <c r="A355" s="10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.75" customHeight="1">
      <c r="A356" s="10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.75" customHeight="1">
      <c r="A357" s="10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.75" customHeight="1">
      <c r="A358" s="10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.75" customHeight="1">
      <c r="A359" s="10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.75" customHeight="1">
      <c r="A360" s="10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.75" customHeight="1">
      <c r="A361" s="10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.75" customHeight="1">
      <c r="A362" s="10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.75" customHeight="1">
      <c r="A363" s="10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.75" customHeight="1">
      <c r="A364" s="10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.75" customHeight="1">
      <c r="A365" s="10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.75" customHeight="1">
      <c r="A366" s="10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.75" customHeight="1">
      <c r="A367" s="10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.75" customHeight="1">
      <c r="A368" s="10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.75" customHeight="1">
      <c r="A369" s="10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.75" customHeight="1">
      <c r="A370" s="10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.75" customHeight="1">
      <c r="A371" s="10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.75" customHeight="1">
      <c r="A372" s="10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.75" customHeight="1">
      <c r="A373" s="10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.75" customHeight="1">
      <c r="A374" s="10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.75" customHeight="1">
      <c r="A375" s="10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.75" customHeight="1">
      <c r="A376" s="10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.75" customHeight="1">
      <c r="A377" s="10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.75" customHeight="1">
      <c r="A378" s="10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.75" customHeight="1">
      <c r="A379" s="10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.75" customHeight="1">
      <c r="A380" s="10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.75" customHeight="1">
      <c r="A381" s="10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.75" customHeight="1">
      <c r="A382" s="10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.75" customHeight="1">
      <c r="A383" s="10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.75" customHeight="1">
      <c r="A384" s="10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.75" customHeight="1">
      <c r="A385" s="10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.75" customHeight="1">
      <c r="A386" s="10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.75" customHeight="1">
      <c r="A387" s="10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.75" customHeight="1">
      <c r="A388" s="10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.75" customHeight="1">
      <c r="A389" s="10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.75" customHeight="1">
      <c r="A390" s="10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.75" customHeight="1">
      <c r="A391" s="10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.75" customHeight="1">
      <c r="A392" s="10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.75" customHeight="1">
      <c r="A393" s="10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.75" customHeight="1">
      <c r="A394" s="10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.75" customHeight="1">
      <c r="A395" s="10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.75" customHeight="1">
      <c r="A396" s="10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.75" customHeight="1">
      <c r="A397" s="10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.75" customHeight="1">
      <c r="A398" s="10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.75" customHeight="1">
      <c r="A399" s="10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.75" customHeight="1">
      <c r="A400" s="10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.75" customHeight="1">
      <c r="A401" s="10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.75" customHeight="1">
      <c r="A402" s="10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.75" customHeight="1">
      <c r="A403" s="10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.75" customHeight="1">
      <c r="A404" s="10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.75" customHeight="1">
      <c r="A405" s="10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.75" customHeight="1">
      <c r="A406" s="10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.75" customHeight="1">
      <c r="A407" s="10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.75" customHeight="1">
      <c r="A408" s="10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.75" customHeight="1">
      <c r="A409" s="10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.75" customHeight="1">
      <c r="A410" s="10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.75" customHeight="1">
      <c r="A411" s="10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.75" customHeight="1">
      <c r="A412" s="10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.75" customHeight="1">
      <c r="A413" s="10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.75" customHeight="1">
      <c r="A414" s="10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.75" customHeight="1">
      <c r="A415" s="10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.75" customHeight="1">
      <c r="A416" s="10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.75" customHeight="1">
      <c r="A417" s="10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.75" customHeight="1">
      <c r="A418" s="10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.75" customHeight="1">
      <c r="A419" s="10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.75" customHeight="1">
      <c r="A420" s="10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.75" customHeight="1">
      <c r="A421" s="10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.75" customHeight="1">
      <c r="A422" s="10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.75" customHeight="1">
      <c r="A423" s="10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.75" customHeight="1">
      <c r="A424" s="10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.75" customHeight="1">
      <c r="A425" s="10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.75" customHeight="1">
      <c r="A426" s="10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.75" customHeight="1">
      <c r="A427" s="10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.75" customHeight="1">
      <c r="A428" s="10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.75" customHeight="1">
      <c r="A429" s="10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.75" customHeight="1">
      <c r="A430" s="10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.75" customHeight="1">
      <c r="A431" s="10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.75" customHeight="1">
      <c r="A432" s="10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.75" customHeight="1">
      <c r="A433" s="10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.75" customHeight="1">
      <c r="A434" s="10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.75" customHeight="1">
      <c r="A435" s="10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.75" customHeight="1">
      <c r="A436" s="10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.75" customHeight="1">
      <c r="A437" s="10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.75" customHeight="1">
      <c r="A438" s="10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.75" customHeight="1">
      <c r="A439" s="10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.75" customHeight="1">
      <c r="A440" s="10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.75" customHeight="1">
      <c r="A441" s="10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.75" customHeight="1">
      <c r="A442" s="10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.75" customHeight="1">
      <c r="A443" s="10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.75" customHeight="1">
      <c r="A444" s="10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.75" customHeight="1">
      <c r="A445" s="10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.75" customHeight="1">
      <c r="A446" s="10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.75" customHeight="1">
      <c r="A447" s="10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.75" customHeight="1">
      <c r="A448" s="10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.75" customHeight="1">
      <c r="A449" s="10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.75" customHeight="1">
      <c r="A450" s="10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.75" customHeight="1">
      <c r="A451" s="10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.75" customHeight="1">
      <c r="A452" s="10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.75" customHeight="1">
      <c r="A453" s="10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.75" customHeight="1">
      <c r="A454" s="10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.75" customHeight="1">
      <c r="A455" s="10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.75" customHeight="1">
      <c r="A456" s="10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.75" customHeight="1">
      <c r="A457" s="10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.75" customHeight="1">
      <c r="A458" s="10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.75" customHeight="1">
      <c r="A459" s="10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.75" customHeight="1">
      <c r="A460" s="10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.75" customHeight="1">
      <c r="A461" s="10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.75" customHeight="1">
      <c r="A462" s="10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.75" customHeight="1">
      <c r="A463" s="10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.75" customHeight="1">
      <c r="A464" s="10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.75" customHeight="1">
      <c r="A465" s="10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.75" customHeight="1">
      <c r="A466" s="10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.75" customHeight="1">
      <c r="A467" s="10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.75" customHeight="1">
      <c r="A468" s="10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.75" customHeight="1">
      <c r="A469" s="10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.75" customHeight="1">
      <c r="A470" s="10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.75" customHeight="1">
      <c r="A471" s="10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.75" customHeight="1">
      <c r="A472" s="10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.75" customHeight="1">
      <c r="A473" s="10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.75" customHeight="1">
      <c r="A474" s="10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.75" customHeight="1">
      <c r="A475" s="10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.75" customHeight="1">
      <c r="A476" s="10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.75" customHeight="1">
      <c r="A477" s="10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.75" customHeight="1">
      <c r="A478" s="10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.75" customHeight="1">
      <c r="A479" s="10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.75" customHeight="1">
      <c r="A480" s="10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.75" customHeight="1">
      <c r="A481" s="10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.75" customHeight="1">
      <c r="A482" s="10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.75" customHeight="1">
      <c r="A483" s="10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.75" customHeight="1">
      <c r="A484" s="10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.75" customHeight="1">
      <c r="A485" s="10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.75" customHeight="1">
      <c r="A486" s="10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.75" customHeight="1">
      <c r="A487" s="10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.75" customHeight="1">
      <c r="A488" s="10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.75" customHeight="1">
      <c r="A489" s="10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.75" customHeight="1">
      <c r="A490" s="10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.75" customHeight="1">
      <c r="A491" s="10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.75" customHeight="1">
      <c r="A492" s="10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.75" customHeight="1">
      <c r="A493" s="10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.75" customHeight="1">
      <c r="A494" s="10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.75" customHeight="1">
      <c r="A495" s="10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.75" customHeight="1">
      <c r="A496" s="10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.75" customHeight="1">
      <c r="A497" s="10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.75" customHeight="1">
      <c r="A498" s="10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.75" customHeight="1">
      <c r="A499" s="10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.75" customHeight="1">
      <c r="A500" s="10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.75" customHeight="1">
      <c r="A501" s="10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.75" customHeight="1">
      <c r="A502" s="10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.75" customHeight="1">
      <c r="A503" s="10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.75" customHeight="1">
      <c r="A504" s="10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.75" customHeight="1">
      <c r="A505" s="10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.75" customHeight="1">
      <c r="A506" s="10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.75" customHeight="1">
      <c r="A507" s="10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.75" customHeight="1">
      <c r="A508" s="10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.75" customHeight="1">
      <c r="A509" s="10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.75" customHeight="1">
      <c r="A510" s="10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.75" customHeight="1">
      <c r="A511" s="10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.75" customHeight="1">
      <c r="A512" s="10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.75" customHeight="1">
      <c r="A513" s="10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.75" customHeight="1">
      <c r="A514" s="10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.75" customHeight="1">
      <c r="A515" s="10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.75" customHeight="1">
      <c r="A516" s="10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.75" customHeight="1">
      <c r="A517" s="10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.75" customHeight="1">
      <c r="A518" s="10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.75" customHeight="1">
      <c r="A519" s="10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.75" customHeight="1">
      <c r="A520" s="10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.75" customHeight="1">
      <c r="A521" s="10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.75" customHeight="1">
      <c r="A522" s="10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.75" customHeight="1">
      <c r="A523" s="10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.75" customHeight="1">
      <c r="A524" s="10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.75" customHeight="1">
      <c r="A525" s="10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.75" customHeight="1">
      <c r="A526" s="10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.75" customHeight="1">
      <c r="A527" s="10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.75" customHeight="1">
      <c r="A528" s="10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.75" customHeight="1">
      <c r="A529" s="10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.75" customHeight="1">
      <c r="A530" s="10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.75" customHeight="1">
      <c r="A531" s="10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.75" customHeight="1">
      <c r="A532" s="10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.75" customHeight="1">
      <c r="A533" s="10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.75" customHeight="1">
      <c r="A534" s="10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.75" customHeight="1">
      <c r="A535" s="10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.75" customHeight="1">
      <c r="A536" s="10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.75" customHeight="1">
      <c r="A537" s="10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.75" customHeight="1">
      <c r="A538" s="10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.75" customHeight="1">
      <c r="A539" s="10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.75" customHeight="1">
      <c r="A540" s="10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.75" customHeight="1">
      <c r="A541" s="10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.75" customHeight="1">
      <c r="A542" s="10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.75" customHeight="1">
      <c r="A543" s="10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.75" customHeight="1">
      <c r="A544" s="10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.75" customHeight="1">
      <c r="A545" s="10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.75" customHeight="1">
      <c r="A546" s="10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.75" customHeight="1">
      <c r="A547" s="10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.75" customHeight="1">
      <c r="A548" s="10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.75" customHeight="1">
      <c r="A549" s="10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.75" customHeight="1">
      <c r="A550" s="10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.75" customHeight="1">
      <c r="A551" s="10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.75" customHeight="1">
      <c r="A552" s="10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.75" customHeight="1">
      <c r="A553" s="10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.75" customHeight="1">
      <c r="A554" s="10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.75" customHeight="1">
      <c r="A555" s="10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.75" customHeight="1">
      <c r="A556" s="10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.75" customHeight="1">
      <c r="A557" s="10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.75" customHeight="1">
      <c r="A558" s="10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.75" customHeight="1">
      <c r="A559" s="10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.75" customHeight="1">
      <c r="A560" s="10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.75" customHeight="1">
      <c r="A561" s="10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.75" customHeight="1">
      <c r="A562" s="10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.75" customHeight="1">
      <c r="A563" s="10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.75" customHeight="1">
      <c r="A564" s="10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.75" customHeight="1">
      <c r="A565" s="10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.75" customHeight="1">
      <c r="A566" s="10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.75" customHeight="1">
      <c r="A567" s="10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.75" customHeight="1">
      <c r="A568" s="10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.75" customHeight="1">
      <c r="A569" s="10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.75" customHeight="1">
      <c r="A570" s="10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.75" customHeight="1">
      <c r="A571" s="10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.75" customHeight="1">
      <c r="A572" s="10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.75" customHeight="1">
      <c r="A573" s="10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.75" customHeight="1">
      <c r="A574" s="10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.75" customHeight="1">
      <c r="A575" s="10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.75" customHeight="1">
      <c r="A576" s="10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.75" customHeight="1">
      <c r="A577" s="10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.75" customHeight="1">
      <c r="A578" s="10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.75" customHeight="1">
      <c r="A579" s="10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.75" customHeight="1">
      <c r="A580" s="10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.75" customHeight="1">
      <c r="A581" s="10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.75" customHeight="1">
      <c r="A582" s="10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.75" customHeight="1">
      <c r="A583" s="10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.75" customHeight="1">
      <c r="A584" s="10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.75" customHeight="1">
      <c r="A585" s="10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.75" customHeight="1">
      <c r="A586" s="10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.75" customHeight="1">
      <c r="A587" s="10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.75" customHeight="1">
      <c r="A588" s="10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.75" customHeight="1">
      <c r="A589" s="10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.75" customHeight="1">
      <c r="A590" s="10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.75" customHeight="1">
      <c r="A591" s="10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.75" customHeight="1">
      <c r="A592" s="10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.75" customHeight="1">
      <c r="A593" s="10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.75" customHeight="1">
      <c r="A594" s="10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.75" customHeight="1">
      <c r="A595" s="10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.75" customHeight="1">
      <c r="A596" s="10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.75" customHeight="1">
      <c r="A597" s="10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.75" customHeight="1">
      <c r="A598" s="10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.75" customHeight="1">
      <c r="A599" s="10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.75" customHeight="1">
      <c r="A600" s="10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.75" customHeight="1">
      <c r="A601" s="10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.75" customHeight="1">
      <c r="A602" s="10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.75" customHeight="1">
      <c r="A603" s="10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.75" customHeight="1">
      <c r="A604" s="10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.75" customHeight="1">
      <c r="A605" s="10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.75" customHeight="1">
      <c r="A606" s="10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.75" customHeight="1">
      <c r="A607" s="10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.75" customHeight="1">
      <c r="A608" s="10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.75" customHeight="1">
      <c r="A609" s="10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.75" customHeight="1">
      <c r="A610" s="10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.75" customHeight="1">
      <c r="A611" s="10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.75" customHeight="1">
      <c r="A612" s="10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.75" customHeight="1">
      <c r="A613" s="10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.75" customHeight="1">
      <c r="A614" s="10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.75" customHeight="1">
      <c r="A615" s="10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.75" customHeight="1">
      <c r="A616" s="10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.75" customHeight="1">
      <c r="A617" s="10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.75" customHeight="1">
      <c r="A618" s="10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.75" customHeight="1">
      <c r="A619" s="10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.75" customHeight="1">
      <c r="A620" s="10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.75" customHeight="1">
      <c r="A621" s="10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.75" customHeight="1">
      <c r="A622" s="10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.75" customHeight="1">
      <c r="A623" s="10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.75" customHeight="1">
      <c r="A624" s="10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.75" customHeight="1">
      <c r="A625" s="10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.75" customHeight="1">
      <c r="A626" s="10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.75" customHeight="1">
      <c r="A627" s="10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.75" customHeight="1">
      <c r="A628" s="10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.75" customHeight="1">
      <c r="A629" s="10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.75" customHeight="1">
      <c r="A630" s="10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.75" customHeight="1">
      <c r="A631" s="10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.75" customHeight="1">
      <c r="A632" s="10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.75" customHeight="1">
      <c r="A633" s="10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.75" customHeight="1">
      <c r="A634" s="10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.75" customHeight="1">
      <c r="A635" s="10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.75" customHeight="1">
      <c r="A636" s="10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.75" customHeight="1">
      <c r="A637" s="10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.75" customHeight="1">
      <c r="A638" s="10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.75" customHeight="1">
      <c r="A639" s="10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.75" customHeight="1">
      <c r="A640" s="10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.75" customHeight="1">
      <c r="A641" s="10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.75" customHeight="1">
      <c r="A642" s="10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.75" customHeight="1">
      <c r="A643" s="10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.75" customHeight="1">
      <c r="A644" s="10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.75" customHeight="1">
      <c r="A645" s="10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.75" customHeight="1">
      <c r="A646" s="10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.75" customHeight="1">
      <c r="A647" s="10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.75" customHeight="1">
      <c r="A648" s="10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.75" customHeight="1">
      <c r="A649" s="10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.75" customHeight="1">
      <c r="A650" s="10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.75" customHeight="1">
      <c r="A651" s="10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.75" customHeight="1">
      <c r="A652" s="10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.75" customHeight="1">
      <c r="A653" s="10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.75" customHeight="1">
      <c r="A654" s="10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.75" customHeight="1">
      <c r="A655" s="10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.75" customHeight="1">
      <c r="A656" s="10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.75" customHeight="1">
      <c r="A657" s="10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.75" customHeight="1">
      <c r="A658" s="10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.75" customHeight="1">
      <c r="A659" s="10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.75" customHeight="1">
      <c r="A660" s="10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.75" customHeight="1">
      <c r="A661" s="10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.75" customHeight="1">
      <c r="A662" s="10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.75" customHeight="1">
      <c r="A663" s="10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.75" customHeight="1">
      <c r="A664" s="10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.75" customHeight="1">
      <c r="A665" s="10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.75" customHeight="1">
      <c r="A666" s="10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.75" customHeight="1">
      <c r="A667" s="10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.75" customHeight="1">
      <c r="A668" s="10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.75" customHeight="1">
      <c r="A669" s="10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.75" customHeight="1">
      <c r="A670" s="10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.75" customHeight="1">
      <c r="A671" s="10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.75" customHeight="1">
      <c r="A672" s="10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.75" customHeight="1">
      <c r="A673" s="10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.75" customHeight="1">
      <c r="A674" s="10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.75" customHeight="1">
      <c r="A675" s="10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.75" customHeight="1">
      <c r="A676" s="10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.75" customHeight="1">
      <c r="A677" s="10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.75" customHeight="1">
      <c r="A678" s="10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.75" customHeight="1">
      <c r="A679" s="10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.75" customHeight="1">
      <c r="A680" s="10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.75" customHeight="1">
      <c r="A681" s="10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.75" customHeight="1">
      <c r="A682" s="10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.75" customHeight="1">
      <c r="A683" s="10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.75" customHeight="1">
      <c r="A684" s="10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.75" customHeight="1">
      <c r="A685" s="10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.75" customHeight="1">
      <c r="A686" s="10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.75" customHeight="1">
      <c r="A687" s="10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.75" customHeight="1">
      <c r="A688" s="10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.75" customHeight="1">
      <c r="A689" s="10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.75" customHeight="1">
      <c r="A690" s="10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.75" customHeight="1">
      <c r="A691" s="10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.75" customHeight="1">
      <c r="A692" s="10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.75" customHeight="1">
      <c r="A693" s="10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.75" customHeight="1">
      <c r="A694" s="10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.75" customHeight="1">
      <c r="A695" s="10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.75" customHeight="1">
      <c r="A696" s="10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.75" customHeight="1">
      <c r="A697" s="10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.75" customHeight="1">
      <c r="A698" s="10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.75" customHeight="1">
      <c r="A699" s="10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.75" customHeight="1">
      <c r="A700" s="10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.75" customHeight="1">
      <c r="A701" s="10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.75" customHeight="1">
      <c r="A702" s="10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.75" customHeight="1">
      <c r="A703" s="10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.75" customHeight="1">
      <c r="A704" s="10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.75" customHeight="1">
      <c r="A705" s="10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.75" customHeight="1">
      <c r="A706" s="10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.75" customHeight="1">
      <c r="A707" s="10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.75" customHeight="1">
      <c r="A708" s="10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.75" customHeight="1">
      <c r="A709" s="10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.75" customHeight="1">
      <c r="A710" s="10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.75" customHeight="1">
      <c r="A711" s="10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.75" customHeight="1">
      <c r="A712" s="10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.75" customHeight="1">
      <c r="A713" s="10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.75" customHeight="1">
      <c r="A714" s="10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.75" customHeight="1">
      <c r="A715" s="10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.75" customHeight="1">
      <c r="A716" s="10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.75" customHeight="1">
      <c r="A717" s="10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.75" customHeight="1">
      <c r="A718" s="10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.75" customHeight="1">
      <c r="A719" s="10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.75" customHeight="1">
      <c r="A720" s="10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.75" customHeight="1">
      <c r="A721" s="10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.75" customHeight="1">
      <c r="A722" s="10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.75" customHeight="1">
      <c r="A723" s="10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.75" customHeight="1">
      <c r="A724" s="10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.75" customHeight="1">
      <c r="A725" s="10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.75" customHeight="1">
      <c r="A726" s="10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.75" customHeight="1">
      <c r="A727" s="10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.75" customHeight="1">
      <c r="A728" s="10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.75" customHeight="1">
      <c r="A729" s="10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.75" customHeight="1">
      <c r="A730" s="10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.75" customHeight="1">
      <c r="A731" s="10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.75" customHeight="1">
      <c r="A732" s="10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.75" customHeight="1">
      <c r="A733" s="10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.75" customHeight="1">
      <c r="A734" s="10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.75" customHeight="1">
      <c r="A735" s="10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.75" customHeight="1">
      <c r="A736" s="10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.75" customHeight="1">
      <c r="A737" s="10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.75" customHeight="1">
      <c r="A738" s="10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.75" customHeight="1">
      <c r="A739" s="10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.75" customHeight="1">
      <c r="A740" s="10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.75" customHeight="1">
      <c r="A741" s="10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.75" customHeight="1">
      <c r="A742" s="10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.75" customHeight="1">
      <c r="A743" s="10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.75" customHeight="1">
      <c r="A744" s="10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.75" customHeight="1">
      <c r="A745" s="10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.75" customHeight="1">
      <c r="A746" s="10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.75" customHeight="1">
      <c r="A747" s="10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.75" customHeight="1">
      <c r="A748" s="10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.75" customHeight="1">
      <c r="A749" s="10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.75" customHeight="1">
      <c r="A750" s="10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.75" customHeight="1">
      <c r="A751" s="10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.75" customHeight="1">
      <c r="A752" s="10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.75" customHeight="1">
      <c r="A753" s="10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.75" customHeight="1">
      <c r="A754" s="10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.75" customHeight="1">
      <c r="A755" s="10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.75" customHeight="1">
      <c r="A756" s="10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.75" customHeight="1">
      <c r="A757" s="10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.75" customHeight="1">
      <c r="A758" s="10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.75" customHeight="1">
      <c r="A759" s="10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.75" customHeight="1">
      <c r="A760" s="10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.75" customHeight="1">
      <c r="A761" s="10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.75" customHeight="1">
      <c r="A762" s="10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.75" customHeight="1">
      <c r="A763" s="10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.75" customHeight="1">
      <c r="A764" s="10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.75" customHeight="1">
      <c r="A765" s="10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.75" customHeight="1">
      <c r="A766" s="10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.75" customHeight="1">
      <c r="A767" s="10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.75" customHeight="1">
      <c r="A768" s="10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.75" customHeight="1">
      <c r="A769" s="10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.75" customHeight="1">
      <c r="A770" s="10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.75" customHeight="1">
      <c r="A771" s="10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.75" customHeight="1">
      <c r="A772" s="10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.75" customHeight="1">
      <c r="A773" s="10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.75" customHeight="1">
      <c r="A774" s="10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.75" customHeight="1">
      <c r="A775" s="10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.75" customHeight="1">
      <c r="A776" s="10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.75" customHeight="1">
      <c r="A777" s="10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.75" customHeight="1">
      <c r="A778" s="10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.75" customHeight="1">
      <c r="A779" s="10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.75" customHeight="1">
      <c r="A780" s="10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.75" customHeight="1">
      <c r="A781" s="10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.75" customHeight="1">
      <c r="A782" s="10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.75" customHeight="1">
      <c r="A783" s="10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.75" customHeight="1">
      <c r="A784" s="10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.75" customHeight="1">
      <c r="A785" s="10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.75" customHeight="1">
      <c r="A786" s="10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.75" customHeight="1">
      <c r="A787" s="10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.75" customHeight="1">
      <c r="A788" s="10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.75" customHeight="1">
      <c r="A789" s="10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.75" customHeight="1">
      <c r="A790" s="10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.75" customHeight="1">
      <c r="A791" s="10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.75" customHeight="1">
      <c r="A792" s="10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.75" customHeight="1">
      <c r="A793" s="10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.75" customHeight="1">
      <c r="A794" s="10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.75" customHeight="1">
      <c r="A795" s="10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.75" customHeight="1">
      <c r="A796" s="10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.75" customHeight="1">
      <c r="A797" s="10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.75" customHeight="1">
      <c r="A798" s="10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.75" customHeight="1">
      <c r="A799" s="10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.75" customHeight="1">
      <c r="A800" s="10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.75" customHeight="1">
      <c r="A801" s="10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.75" customHeight="1">
      <c r="A802" s="10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.75" customHeight="1">
      <c r="A803" s="10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.75" customHeight="1">
      <c r="A804" s="10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.75" customHeight="1">
      <c r="A805" s="10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.75" customHeight="1">
      <c r="A806" s="10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.75" customHeight="1">
      <c r="A807" s="10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.75" customHeight="1">
      <c r="A808" s="10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.75" customHeight="1">
      <c r="A809" s="10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.75" customHeight="1">
      <c r="A810" s="10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.75" customHeight="1">
      <c r="A811" s="10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.75" customHeight="1">
      <c r="A812" s="10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.75" customHeight="1">
      <c r="A813" s="10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.75" customHeight="1">
      <c r="A814" s="10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.75" customHeight="1">
      <c r="A815" s="10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.75" customHeight="1">
      <c r="A816" s="10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.75" customHeight="1">
      <c r="A817" s="10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.75" customHeight="1">
      <c r="A818" s="10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.75" customHeight="1">
      <c r="A819" s="10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.75" customHeight="1">
      <c r="A820" s="10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.75" customHeight="1">
      <c r="A821" s="10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.75" customHeight="1">
      <c r="A822" s="10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.75" customHeight="1">
      <c r="A823" s="10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.75" customHeight="1">
      <c r="A824" s="10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.75" customHeight="1">
      <c r="A825" s="10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.75" customHeight="1">
      <c r="A826" s="10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.75" customHeight="1">
      <c r="A827" s="10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.75" customHeight="1">
      <c r="A828" s="10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.75" customHeight="1">
      <c r="A829" s="10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.75" customHeight="1">
      <c r="A830" s="10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.75" customHeight="1">
      <c r="A831" s="10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.75" customHeight="1">
      <c r="A832" s="10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.75" customHeight="1">
      <c r="A833" s="10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.75" customHeight="1">
      <c r="A834" s="10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.75" customHeight="1">
      <c r="A835" s="10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.75" customHeight="1">
      <c r="A836" s="10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.75" customHeight="1">
      <c r="A837" s="10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.75" customHeight="1">
      <c r="A838" s="10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.75" customHeight="1">
      <c r="A839" s="10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.75" customHeight="1">
      <c r="A840" s="10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.75" customHeight="1">
      <c r="A841" s="10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.75" customHeight="1">
      <c r="A842" s="10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.75" customHeight="1">
      <c r="A843" s="10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.75" customHeight="1">
      <c r="A844" s="10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.75" customHeight="1">
      <c r="A845" s="10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.75" customHeight="1">
      <c r="A846" s="10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.75" customHeight="1">
      <c r="A847" s="10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.75" customHeight="1">
      <c r="A848" s="10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.75" customHeight="1">
      <c r="A849" s="10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.75" customHeight="1">
      <c r="A850" s="10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.75" customHeight="1">
      <c r="A851" s="10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.75" customHeight="1">
      <c r="A852" s="10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.75" customHeight="1">
      <c r="A853" s="10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.75" customHeight="1">
      <c r="A854" s="10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.75" customHeight="1">
      <c r="A855" s="10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.75" customHeight="1">
      <c r="A856" s="10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.75" customHeight="1">
      <c r="A857" s="10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.75" customHeight="1">
      <c r="A858" s="10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.75" customHeight="1">
      <c r="A859" s="10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.75" customHeight="1">
      <c r="A860" s="10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.75" customHeight="1">
      <c r="A861" s="10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.75" customHeight="1">
      <c r="A862" s="10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.75" customHeight="1">
      <c r="A863" s="10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.75" customHeight="1">
      <c r="A864" s="10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.75" customHeight="1">
      <c r="A865" s="10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.75" customHeight="1">
      <c r="A866" s="10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.75" customHeight="1">
      <c r="A867" s="10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.75" customHeight="1">
      <c r="A868" s="10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.75" customHeight="1">
      <c r="A869" s="10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.75" customHeight="1">
      <c r="A870" s="10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.75" customHeight="1">
      <c r="A871" s="10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.75" customHeight="1">
      <c r="A872" s="10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.75" customHeight="1">
      <c r="A873" s="10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.75" customHeight="1">
      <c r="A874" s="10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.75" customHeight="1">
      <c r="A875" s="10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.75" customHeight="1">
      <c r="A876" s="10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.75" customHeight="1">
      <c r="A877" s="10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.75" customHeight="1">
      <c r="A878" s="10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.75" customHeight="1">
      <c r="A879" s="10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.75" customHeight="1">
      <c r="A880" s="10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.75" customHeight="1">
      <c r="A881" s="10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.75" customHeight="1">
      <c r="A882" s="10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.75" customHeight="1">
      <c r="A883" s="10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.75" customHeight="1">
      <c r="A884" s="10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.75" customHeight="1">
      <c r="A885" s="10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.75" customHeight="1">
      <c r="A886" s="10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.75" customHeight="1">
      <c r="A887" s="10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.75" customHeight="1">
      <c r="A888" s="10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.75" customHeight="1">
      <c r="A889" s="10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.75" customHeight="1">
      <c r="A890" s="10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.75" customHeight="1">
      <c r="A891" s="10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.75" customHeight="1">
      <c r="A892" s="10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.75" customHeight="1">
      <c r="A893" s="10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.75" customHeight="1">
      <c r="A894" s="10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.75" customHeight="1">
      <c r="A895" s="10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.75" customHeight="1">
      <c r="A896" s="10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.75" customHeight="1">
      <c r="A897" s="10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.75" customHeight="1">
      <c r="A898" s="10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.75" customHeight="1">
      <c r="A899" s="10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.75" customHeight="1">
      <c r="A900" s="10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.75" customHeight="1">
      <c r="A901" s="10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.75" customHeight="1">
      <c r="A902" s="10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.75" customHeight="1">
      <c r="A903" s="10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.75" customHeight="1">
      <c r="A904" s="10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.75" customHeight="1">
      <c r="A905" s="10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.75" customHeight="1">
      <c r="A906" s="10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.75" customHeight="1">
      <c r="A907" s="10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.75" customHeight="1">
      <c r="A908" s="10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.75" customHeight="1">
      <c r="A909" s="10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.75" customHeight="1">
      <c r="A910" s="10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.75" customHeight="1">
      <c r="A911" s="10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.75" customHeight="1">
      <c r="A912" s="10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.75" customHeight="1">
      <c r="A913" s="10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.75" customHeight="1">
      <c r="A914" s="10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.75" customHeight="1">
      <c r="A915" s="10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.75" customHeight="1">
      <c r="A916" s="10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.75" customHeight="1">
      <c r="A917" s="10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.75" customHeight="1">
      <c r="A918" s="10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.75" customHeight="1">
      <c r="A919" s="10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.75" customHeight="1">
      <c r="A920" s="10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.75" customHeight="1">
      <c r="A921" s="10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.75" customHeight="1">
      <c r="A922" s="10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.75" customHeight="1">
      <c r="A923" s="10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.75" customHeight="1">
      <c r="A924" s="10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.75" customHeight="1">
      <c r="A925" s="10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.75" customHeight="1">
      <c r="A926" s="10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.75" customHeight="1">
      <c r="A927" s="10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.75" customHeight="1">
      <c r="A928" s="10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.75" customHeight="1">
      <c r="A929" s="10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.75" customHeight="1">
      <c r="A930" s="10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.75" customHeight="1">
      <c r="A931" s="10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.75" customHeight="1">
      <c r="A932" s="10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.75" customHeight="1">
      <c r="A933" s="10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.75" customHeight="1">
      <c r="A934" s="10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.75" customHeight="1">
      <c r="A935" s="10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.75" customHeight="1">
      <c r="A936" s="10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.75" customHeight="1">
      <c r="A937" s="10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.75" customHeight="1">
      <c r="A938" s="10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.75" customHeight="1">
      <c r="A939" s="10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.75" customHeight="1">
      <c r="A940" s="10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.75" customHeight="1">
      <c r="A941" s="10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.75" customHeight="1">
      <c r="A942" s="10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.75" customHeight="1">
      <c r="A943" s="10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.75" customHeight="1">
      <c r="A944" s="10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.75" customHeight="1">
      <c r="A945" s="10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.75" customHeight="1">
      <c r="A946" s="10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.75" customHeight="1">
      <c r="A947" s="10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.75" customHeight="1">
      <c r="A948" s="10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.75" customHeight="1">
      <c r="A949" s="10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.75" customHeight="1">
      <c r="A950" s="10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.75" customHeight="1">
      <c r="A951" s="10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.75" customHeight="1">
      <c r="A952" s="10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.75" customHeight="1">
      <c r="A953" s="10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.75" customHeight="1">
      <c r="A954" s="10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.75" customHeight="1">
      <c r="A955" s="10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.75" customHeight="1">
      <c r="A956" s="10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.75" customHeight="1">
      <c r="A957" s="10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.75" customHeight="1">
      <c r="A958" s="10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.75" customHeight="1">
      <c r="A959" s="10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.75" customHeight="1">
      <c r="A960" s="10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.75" customHeight="1">
      <c r="A961" s="10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.75" customHeight="1">
      <c r="A962" s="10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.75" customHeight="1">
      <c r="A963" s="10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.75" customHeight="1">
      <c r="A964" s="10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.75" customHeight="1">
      <c r="A965" s="10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.75" customHeight="1">
      <c r="A966" s="10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.75" customHeight="1">
      <c r="A967" s="10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.75" customHeight="1">
      <c r="A968" s="10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.75" customHeight="1">
      <c r="A969" s="10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.75" customHeight="1">
      <c r="A970" s="10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.75" customHeight="1">
      <c r="A971" s="10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.75" customHeight="1">
      <c r="A972" s="10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.75" customHeight="1">
      <c r="A973" s="10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.75" customHeight="1">
      <c r="A974" s="10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.75" customHeight="1">
      <c r="A975" s="10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.75" customHeight="1">
      <c r="A976" s="10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.75" customHeight="1">
      <c r="A977" s="10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.75" customHeight="1">
      <c r="A978" s="10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.75" customHeight="1">
      <c r="A979" s="10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5.75" customHeight="1">
      <c r="A980" s="10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5.75" customHeight="1">
      <c r="A981" s="10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5.75" customHeight="1">
      <c r="A982" s="10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5.75" customHeight="1">
      <c r="A983" s="10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5.75" customHeight="1">
      <c r="A984" s="10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5.75" customHeight="1">
      <c r="A985" s="10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5.75" customHeight="1">
      <c r="A986" s="10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5.75" customHeight="1">
      <c r="A987" s="10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5.75" customHeight="1">
      <c r="A988" s="10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5.75" customHeight="1">
      <c r="A989" s="10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5.75" customHeight="1">
      <c r="A990" s="10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5.75" customHeight="1">
      <c r="A991" s="10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5.75" customHeight="1">
      <c r="A992" s="10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5.75" customHeight="1">
      <c r="A993" s="10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5.75" customHeight="1">
      <c r="A994" s="10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5.75" customHeight="1">
      <c r="A995" s="10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5.75" customHeight="1">
      <c r="A996" s="10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5.75" customHeight="1">
      <c r="A997" s="10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5.75" customHeight="1">
      <c r="A998" s="10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5.75" customHeight="1">
      <c r="A999" s="10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5.75" customHeight="1">
      <c r="A1000" s="10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5.75" customHeight="1">
      <c r="A1001" s="10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5.75" customHeight="1">
      <c r="A1002" s="10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5.75" customHeight="1">
      <c r="A1003" s="10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5.75" customHeight="1">
      <c r="A1004" s="10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</sheetData>
  <mergeCells count="8">
    <mergeCell ref="B33:M33"/>
    <mergeCell ref="A2:A33"/>
    <mergeCell ref="N2:N33"/>
    <mergeCell ref="A1:N1"/>
    <mergeCell ref="D15:H15"/>
    <mergeCell ref="I15:M15"/>
    <mergeCell ref="B24:B25"/>
    <mergeCell ref="B26:B2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activeCell="C18" sqref="C18"/>
    </sheetView>
  </sheetViews>
  <sheetFormatPr defaultColWidth="12.625" defaultRowHeight="15" customHeight="1"/>
  <cols>
    <col min="1" max="2" width="18.625" customWidth="1"/>
    <col min="3" max="3" width="54.625" customWidth="1"/>
    <col min="4" max="26" width="11" customWidth="1"/>
  </cols>
  <sheetData>
    <row r="1" spans="1:3" ht="14.25" customHeight="1">
      <c r="A1" s="53"/>
      <c r="B1" s="51"/>
      <c r="C1" s="10"/>
    </row>
    <row r="2" spans="1:3" ht="14.25" customHeight="1">
      <c r="A2" s="54"/>
      <c r="B2" s="51"/>
      <c r="C2" s="10"/>
    </row>
    <row r="3" spans="1:3" ht="14.25" customHeight="1">
      <c r="A3" s="53"/>
      <c r="B3" s="51"/>
    </row>
    <row r="4" spans="1:3" ht="14.25" customHeight="1">
      <c r="A4" s="55"/>
      <c r="B4" s="51"/>
    </row>
    <row r="5" spans="1:3" ht="14.25" customHeight="1">
      <c r="A5" s="53"/>
      <c r="B5" s="51"/>
    </row>
    <row r="6" spans="1:3" ht="14.25" customHeight="1">
      <c r="A6" s="55"/>
      <c r="B6" s="51"/>
    </row>
    <row r="7" spans="1:3" ht="14.25" customHeight="1">
      <c r="A7" s="53"/>
      <c r="B7" s="51"/>
    </row>
    <row r="8" spans="1:3" ht="14.25" customHeight="1">
      <c r="A8" s="54"/>
      <c r="B8" s="51"/>
    </row>
    <row r="9" spans="1:3" ht="14.25" customHeight="1">
      <c r="A9" s="53"/>
      <c r="B9" s="51"/>
    </row>
    <row r="10" spans="1:3" ht="14.25" customHeight="1">
      <c r="A10" s="55"/>
      <c r="B10" s="51"/>
    </row>
    <row r="11" spans="1:3" ht="14.25" customHeight="1">
      <c r="A11" s="54"/>
      <c r="B11" s="51"/>
    </row>
    <row r="12" spans="1:3" ht="14.25" customHeight="1">
      <c r="A12" s="53"/>
      <c r="B12" s="51"/>
    </row>
    <row r="13" spans="1:3" ht="14.25" customHeight="1">
      <c r="A13" s="54"/>
      <c r="B13" s="51"/>
    </row>
    <row r="14" spans="1:3" ht="14.25" customHeight="1">
      <c r="A14" s="53"/>
      <c r="B14" s="51"/>
    </row>
    <row r="15" spans="1:3" ht="14.25" customHeight="1">
      <c r="A15" s="55"/>
      <c r="B15" s="51"/>
    </row>
    <row r="16" spans="1:3" ht="14.25" customHeight="1">
      <c r="A16" s="53"/>
      <c r="B16" s="51"/>
    </row>
    <row r="17" spans="1:2" ht="14.25" customHeight="1">
      <c r="A17" s="54"/>
      <c r="B17" s="51"/>
    </row>
    <row r="18" spans="1:2" ht="14.25" customHeight="1">
      <c r="A18" s="53"/>
      <c r="B18" s="51"/>
    </row>
    <row r="19" spans="1:2" ht="14.25" customHeight="1">
      <c r="A19" s="54"/>
      <c r="B19" s="51"/>
    </row>
    <row r="20" spans="1:2" ht="14.25" customHeight="1">
      <c r="A20" s="53"/>
      <c r="B20" s="51"/>
    </row>
    <row r="21" spans="1:2" ht="14.25" customHeight="1">
      <c r="A21" s="55"/>
      <c r="B21" s="51"/>
    </row>
    <row r="22" spans="1:2" ht="14.25" customHeight="1">
      <c r="A22" s="53"/>
      <c r="B22" s="51"/>
    </row>
    <row r="23" spans="1:2" ht="14.25" customHeight="1">
      <c r="A23" s="54"/>
      <c r="B23" s="51"/>
    </row>
    <row r="24" spans="1:2" ht="14.25" customHeight="1">
      <c r="A24" s="55"/>
      <c r="B24" s="51"/>
    </row>
    <row r="25" spans="1:2" ht="14.25" customHeight="1">
      <c r="A25" s="54"/>
      <c r="B25" s="51"/>
    </row>
    <row r="26" spans="1:2" ht="14.25" customHeight="1">
      <c r="A26" s="53"/>
      <c r="B26" s="51"/>
    </row>
    <row r="27" spans="1:2" ht="14.25" customHeight="1">
      <c r="A27" s="55"/>
      <c r="B27" s="51"/>
    </row>
    <row r="28" spans="1:2" ht="14.25" customHeight="1">
      <c r="A28" s="53"/>
      <c r="B28" s="51"/>
    </row>
    <row r="29" spans="1:2" ht="14.25" customHeight="1">
      <c r="A29" s="54"/>
      <c r="B29" s="51"/>
    </row>
    <row r="30" spans="1:2" ht="14.25" customHeight="1">
      <c r="A30" s="53"/>
      <c r="B30" s="51"/>
    </row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25" defaultRowHeight="15" customHeight="1"/>
  <cols>
    <col min="1" max="1" width="26.125" customWidth="1"/>
    <col min="2" max="2" width="6.375" customWidth="1"/>
    <col min="3" max="3" width="17.625" customWidth="1"/>
    <col min="4" max="4" width="20.5" customWidth="1"/>
    <col min="5" max="5" width="14.625" customWidth="1"/>
    <col min="6" max="6" width="19.5" customWidth="1"/>
    <col min="7" max="7" width="20.5" customWidth="1"/>
    <col min="8" max="8" width="19.375" customWidth="1"/>
    <col min="9" max="9" width="15" customWidth="1"/>
    <col min="10" max="10" width="12.125" customWidth="1"/>
    <col min="11" max="11" width="20.375" customWidth="1"/>
    <col min="12" max="12" width="12" customWidth="1"/>
    <col min="13" max="26" width="7.625" customWidth="1"/>
  </cols>
  <sheetData>
    <row r="1" spans="1:26" ht="15.75">
      <c r="A1" s="56" t="s">
        <v>41</v>
      </c>
      <c r="B1" s="57" t="s">
        <v>42</v>
      </c>
      <c r="C1" s="58" t="s">
        <v>16</v>
      </c>
      <c r="D1" s="58" t="s">
        <v>17</v>
      </c>
      <c r="E1" s="58" t="s">
        <v>18</v>
      </c>
      <c r="F1" s="58" t="s">
        <v>19</v>
      </c>
      <c r="G1" s="58" t="s">
        <v>20</v>
      </c>
      <c r="H1" s="58" t="s">
        <v>21</v>
      </c>
      <c r="I1" s="58" t="s">
        <v>22</v>
      </c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5.75">
      <c r="A2" s="54" t="s">
        <v>43</v>
      </c>
      <c r="B2" s="59">
        <v>0.3125</v>
      </c>
      <c r="C2" s="60" t="s">
        <v>44</v>
      </c>
      <c r="D2" s="60" t="s">
        <v>45</v>
      </c>
      <c r="E2" s="60" t="s">
        <v>46</v>
      </c>
      <c r="F2" s="60" t="s">
        <v>47</v>
      </c>
      <c r="G2" s="60" t="s">
        <v>46</v>
      </c>
      <c r="H2" s="61" t="s">
        <v>48</v>
      </c>
      <c r="I2" s="6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>
      <c r="A3" s="54" t="s">
        <v>49</v>
      </c>
      <c r="B3" s="59">
        <v>0.35416666666666669</v>
      </c>
      <c r="C3" s="60" t="s">
        <v>50</v>
      </c>
      <c r="D3" s="62" t="s">
        <v>51</v>
      </c>
      <c r="E3" s="62" t="s">
        <v>52</v>
      </c>
      <c r="F3" s="62" t="s">
        <v>53</v>
      </c>
      <c r="G3" s="60" t="s">
        <v>54</v>
      </c>
      <c r="H3" s="63" t="s">
        <v>55</v>
      </c>
      <c r="I3" s="63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5.75">
      <c r="A4" s="54" t="s">
        <v>56</v>
      </c>
      <c r="B4" s="59">
        <v>0.39583333333333331</v>
      </c>
      <c r="C4" s="62" t="s">
        <v>49</v>
      </c>
      <c r="D4" s="60" t="s">
        <v>57</v>
      </c>
      <c r="E4" s="60" t="s">
        <v>50</v>
      </c>
      <c r="F4" s="60" t="s">
        <v>57</v>
      </c>
      <c r="G4" s="60" t="s">
        <v>58</v>
      </c>
      <c r="H4" s="64"/>
      <c r="I4" s="64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5.75">
      <c r="A5" s="54" t="s">
        <v>59</v>
      </c>
      <c r="B5" s="59">
        <v>0.4375</v>
      </c>
      <c r="C5" s="62" t="s">
        <v>59</v>
      </c>
      <c r="D5" s="62" t="s">
        <v>60</v>
      </c>
      <c r="E5" s="62" t="s">
        <v>43</v>
      </c>
      <c r="F5" s="62" t="s">
        <v>51</v>
      </c>
      <c r="G5" s="62" t="s">
        <v>43</v>
      </c>
      <c r="H5" s="64"/>
      <c r="I5" s="64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5" customHeight="1">
      <c r="A6" s="54" t="s">
        <v>52</v>
      </c>
      <c r="B6" s="65"/>
      <c r="C6" s="66" t="s">
        <v>61</v>
      </c>
      <c r="D6" s="67"/>
      <c r="E6" s="67"/>
      <c r="F6" s="67"/>
      <c r="G6" s="67" t="s">
        <v>61</v>
      </c>
      <c r="H6" s="67"/>
      <c r="I6" s="67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5" customHeight="1">
      <c r="A7" s="54" t="s">
        <v>51</v>
      </c>
      <c r="B7" s="59">
        <v>0.6875</v>
      </c>
      <c r="C7" s="62" t="s">
        <v>43</v>
      </c>
      <c r="D7" s="60" t="s">
        <v>47</v>
      </c>
      <c r="E7" s="62" t="s">
        <v>59</v>
      </c>
      <c r="F7" s="62" t="s">
        <v>60</v>
      </c>
      <c r="G7" s="60" t="s">
        <v>50</v>
      </c>
      <c r="H7" s="68"/>
      <c r="I7" s="68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5.75">
      <c r="A8" s="54" t="s">
        <v>60</v>
      </c>
      <c r="B8" s="59">
        <v>0.72916666666666663</v>
      </c>
      <c r="C8" s="62" t="s">
        <v>52</v>
      </c>
      <c r="D8" s="62" t="s">
        <v>62</v>
      </c>
      <c r="E8" s="60" t="s">
        <v>58</v>
      </c>
      <c r="F8" s="60" t="s">
        <v>63</v>
      </c>
      <c r="G8" s="69" t="s">
        <v>64</v>
      </c>
      <c r="H8" s="70"/>
      <c r="I8" s="70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5.75">
      <c r="A9" s="54" t="s">
        <v>53</v>
      </c>
      <c r="B9" s="59">
        <v>0.77083333333333337</v>
      </c>
      <c r="C9" s="71"/>
      <c r="D9" s="60" t="s">
        <v>54</v>
      </c>
      <c r="E9" s="62" t="s">
        <v>53</v>
      </c>
      <c r="F9" s="62" t="s">
        <v>64</v>
      </c>
      <c r="G9" s="62" t="s">
        <v>62</v>
      </c>
      <c r="H9" s="68"/>
      <c r="I9" s="68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>
      <c r="A10" s="72" t="s">
        <v>44</v>
      </c>
      <c r="B10" s="73"/>
      <c r="C10" s="74"/>
      <c r="D10" s="51"/>
      <c r="E10" s="51"/>
      <c r="F10" s="51"/>
      <c r="G10" s="74"/>
      <c r="H10" s="75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>
      <c r="A11" s="72" t="s">
        <v>45</v>
      </c>
      <c r="B11" s="73"/>
      <c r="C11" s="74"/>
      <c r="D11" s="76"/>
      <c r="E11" s="76"/>
      <c r="F11" s="77"/>
      <c r="G11" s="74"/>
      <c r="H11" s="75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>
      <c r="A12" s="51"/>
      <c r="B12" s="73"/>
      <c r="C12" s="74"/>
      <c r="D12" s="76"/>
      <c r="E12" s="75"/>
      <c r="F12" s="77"/>
      <c r="G12" s="74"/>
      <c r="H12" s="75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>
      <c r="A13" s="56" t="s">
        <v>24</v>
      </c>
      <c r="B13" s="73"/>
      <c r="C13" s="130" t="s">
        <v>25</v>
      </c>
      <c r="D13" s="115"/>
      <c r="E13" s="115"/>
      <c r="F13" s="116"/>
      <c r="G13" s="58"/>
      <c r="H13" s="58" t="s">
        <v>26</v>
      </c>
      <c r="I13" s="58"/>
      <c r="J13" s="58"/>
      <c r="K13" s="58"/>
      <c r="L13" s="58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5.75">
      <c r="A14" s="54" t="s">
        <v>64</v>
      </c>
      <c r="B14" s="73"/>
      <c r="C14" s="58" t="s">
        <v>27</v>
      </c>
      <c r="D14" s="78" t="s">
        <v>28</v>
      </c>
      <c r="E14" s="78" t="s">
        <v>29</v>
      </c>
      <c r="F14" s="78" t="s">
        <v>30</v>
      </c>
      <c r="G14" s="78" t="s">
        <v>31</v>
      </c>
      <c r="H14" s="79" t="s">
        <v>27</v>
      </c>
      <c r="I14" s="68" t="s">
        <v>28</v>
      </c>
      <c r="J14" s="68" t="s">
        <v>29</v>
      </c>
      <c r="K14" s="78" t="s">
        <v>30</v>
      </c>
      <c r="L14" s="68" t="s">
        <v>31</v>
      </c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5.75">
      <c r="A15" s="54" t="s">
        <v>62</v>
      </c>
      <c r="B15" s="73"/>
      <c r="C15" s="80" t="s">
        <v>43</v>
      </c>
      <c r="D15" s="81">
        <v>3</v>
      </c>
      <c r="E15" s="82">
        <f t="shared" ref="E15:E24" si="0">D15/D$31</f>
        <v>8.5714285714285715E-2</v>
      </c>
      <c r="F15" s="83">
        <v>15</v>
      </c>
      <c r="G15" s="84">
        <f t="shared" ref="G15:G24" si="1">F15/G$31</f>
        <v>0.1</v>
      </c>
      <c r="H15" s="70" t="s">
        <v>64</v>
      </c>
      <c r="I15" s="81">
        <v>2</v>
      </c>
      <c r="J15" s="82">
        <f t="shared" ref="J15:J23" si="2">I15/I$31</f>
        <v>5.7142857142857141E-2</v>
      </c>
      <c r="K15" s="83">
        <v>12</v>
      </c>
      <c r="L15" s="84">
        <f t="shared" ref="L15:L24" si="3">K15/G$31</f>
        <v>0.08</v>
      </c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5.75">
      <c r="A16" s="72" t="s">
        <v>58</v>
      </c>
      <c r="B16" s="73"/>
      <c r="C16" s="80" t="s">
        <v>49</v>
      </c>
      <c r="D16" s="81">
        <v>1</v>
      </c>
      <c r="E16" s="82">
        <f t="shared" si="0"/>
        <v>2.8571428571428571E-2</v>
      </c>
      <c r="F16" s="83">
        <v>5</v>
      </c>
      <c r="G16" s="84">
        <f t="shared" si="1"/>
        <v>3.3333333333333333E-2</v>
      </c>
      <c r="H16" s="70" t="s">
        <v>62</v>
      </c>
      <c r="I16" s="81">
        <v>2</v>
      </c>
      <c r="J16" s="82">
        <f t="shared" si="2"/>
        <v>5.7142857142857141E-2</v>
      </c>
      <c r="K16" s="83">
        <v>12</v>
      </c>
      <c r="L16" s="84">
        <f t="shared" si="3"/>
        <v>0.08</v>
      </c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5.75">
      <c r="A17" s="72" t="s">
        <v>57</v>
      </c>
      <c r="B17" s="73"/>
      <c r="C17" s="80" t="s">
        <v>56</v>
      </c>
      <c r="D17" s="81">
        <v>1</v>
      </c>
      <c r="E17" s="82">
        <f t="shared" si="0"/>
        <v>2.8571428571428571E-2</v>
      </c>
      <c r="F17" s="83">
        <v>5</v>
      </c>
      <c r="G17" s="84">
        <f t="shared" si="1"/>
        <v>3.3333333333333333E-2</v>
      </c>
      <c r="H17" s="70" t="s">
        <v>58</v>
      </c>
      <c r="I17" s="81">
        <v>2</v>
      </c>
      <c r="J17" s="82">
        <f t="shared" si="2"/>
        <v>5.7142857142857141E-2</v>
      </c>
      <c r="K17" s="83">
        <v>12</v>
      </c>
      <c r="L17" s="84">
        <f t="shared" si="3"/>
        <v>0.08</v>
      </c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5.75">
      <c r="A18" s="72" t="s">
        <v>63</v>
      </c>
      <c r="B18" s="73"/>
      <c r="C18" s="80" t="s">
        <v>59</v>
      </c>
      <c r="D18" s="81">
        <v>2</v>
      </c>
      <c r="E18" s="82">
        <f t="shared" si="0"/>
        <v>5.7142857142857141E-2</v>
      </c>
      <c r="F18" s="83">
        <v>7</v>
      </c>
      <c r="G18" s="84">
        <f t="shared" si="1"/>
        <v>4.6666666666666669E-2</v>
      </c>
      <c r="H18" s="70" t="s">
        <v>57</v>
      </c>
      <c r="I18" s="81">
        <v>2</v>
      </c>
      <c r="J18" s="82">
        <f t="shared" si="2"/>
        <v>5.7142857142857141E-2</v>
      </c>
      <c r="K18" s="83">
        <v>7</v>
      </c>
      <c r="L18" s="84">
        <f t="shared" si="3"/>
        <v>4.6666666666666669E-2</v>
      </c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5.75">
      <c r="A19" s="72" t="s">
        <v>54</v>
      </c>
      <c r="B19" s="73"/>
      <c r="C19" s="80" t="s">
        <v>52</v>
      </c>
      <c r="D19" s="81">
        <v>2</v>
      </c>
      <c r="E19" s="82">
        <f t="shared" si="0"/>
        <v>5.7142857142857141E-2</v>
      </c>
      <c r="F19" s="83">
        <v>6</v>
      </c>
      <c r="G19" s="84">
        <f t="shared" si="1"/>
        <v>0.04</v>
      </c>
      <c r="H19" s="70" t="s">
        <v>63</v>
      </c>
      <c r="I19" s="81">
        <v>1</v>
      </c>
      <c r="J19" s="82">
        <f t="shared" si="2"/>
        <v>2.8571428571428571E-2</v>
      </c>
      <c r="K19" s="83">
        <v>7</v>
      </c>
      <c r="L19" s="84">
        <f t="shared" si="3"/>
        <v>4.6666666666666669E-2</v>
      </c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5.75">
      <c r="A20" s="72" t="s">
        <v>50</v>
      </c>
      <c r="B20" s="73"/>
      <c r="C20" s="80" t="s">
        <v>51</v>
      </c>
      <c r="D20" s="81">
        <v>2</v>
      </c>
      <c r="E20" s="82">
        <f t="shared" si="0"/>
        <v>5.7142857142857141E-2</v>
      </c>
      <c r="F20" s="83">
        <v>7</v>
      </c>
      <c r="G20" s="84">
        <f t="shared" si="1"/>
        <v>4.6666666666666669E-2</v>
      </c>
      <c r="H20" s="70" t="s">
        <v>54</v>
      </c>
      <c r="I20" s="81">
        <v>2</v>
      </c>
      <c r="J20" s="82">
        <f t="shared" si="2"/>
        <v>5.7142857142857141E-2</v>
      </c>
      <c r="K20" s="83">
        <v>12</v>
      </c>
      <c r="L20" s="84">
        <f t="shared" si="3"/>
        <v>0.08</v>
      </c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5.75" customHeight="1">
      <c r="A21" s="72" t="s">
        <v>46</v>
      </c>
      <c r="B21" s="73"/>
      <c r="C21" s="80" t="s">
        <v>60</v>
      </c>
      <c r="D21" s="81">
        <v>2</v>
      </c>
      <c r="E21" s="82">
        <f t="shared" si="0"/>
        <v>5.7142857142857141E-2</v>
      </c>
      <c r="F21" s="83">
        <v>7</v>
      </c>
      <c r="G21" s="84">
        <f t="shared" si="1"/>
        <v>4.6666666666666669E-2</v>
      </c>
      <c r="H21" s="70" t="s">
        <v>50</v>
      </c>
      <c r="I21" s="81">
        <v>3</v>
      </c>
      <c r="J21" s="82">
        <f t="shared" si="2"/>
        <v>8.5714285714285715E-2</v>
      </c>
      <c r="K21" s="83">
        <v>11</v>
      </c>
      <c r="L21" s="84">
        <f t="shared" si="3"/>
        <v>7.3333333333333334E-2</v>
      </c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5.75" customHeight="1">
      <c r="A22" s="72" t="s">
        <v>47</v>
      </c>
      <c r="B22" s="73"/>
      <c r="C22" s="80" t="s">
        <v>53</v>
      </c>
      <c r="D22" s="81">
        <v>2</v>
      </c>
      <c r="E22" s="82">
        <f t="shared" si="0"/>
        <v>5.7142857142857141E-2</v>
      </c>
      <c r="F22" s="83">
        <v>7</v>
      </c>
      <c r="G22" s="84">
        <f t="shared" si="1"/>
        <v>4.6666666666666669E-2</v>
      </c>
      <c r="H22" s="70" t="s">
        <v>46</v>
      </c>
      <c r="I22" s="71">
        <v>2</v>
      </c>
      <c r="J22" s="82">
        <f t="shared" si="2"/>
        <v>5.7142857142857141E-2</v>
      </c>
      <c r="K22" s="83">
        <v>6</v>
      </c>
      <c r="L22" s="84">
        <f t="shared" si="3"/>
        <v>0.04</v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5.75" customHeight="1">
      <c r="A23" s="51"/>
      <c r="B23" s="73"/>
      <c r="C23" s="80" t="s">
        <v>44</v>
      </c>
      <c r="D23" s="81">
        <v>1</v>
      </c>
      <c r="E23" s="82">
        <f t="shared" si="0"/>
        <v>2.8571428571428571E-2</v>
      </c>
      <c r="F23" s="83">
        <v>3</v>
      </c>
      <c r="G23" s="84">
        <f t="shared" si="1"/>
        <v>0.02</v>
      </c>
      <c r="H23" s="70" t="s">
        <v>47</v>
      </c>
      <c r="I23" s="81">
        <v>2</v>
      </c>
      <c r="J23" s="82">
        <f t="shared" si="2"/>
        <v>5.7142857142857141E-2</v>
      </c>
      <c r="K23" s="83">
        <v>6</v>
      </c>
      <c r="L23" s="84">
        <f t="shared" si="3"/>
        <v>0.04</v>
      </c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5.75" customHeight="1">
      <c r="A24" s="131" t="s">
        <v>32</v>
      </c>
      <c r="B24" s="73"/>
      <c r="C24" s="80" t="s">
        <v>45</v>
      </c>
      <c r="D24" s="85">
        <v>1</v>
      </c>
      <c r="E24" s="82">
        <f t="shared" si="0"/>
        <v>2.8571428571428571E-2</v>
      </c>
      <c r="F24" s="83">
        <v>3</v>
      </c>
      <c r="G24" s="84">
        <f t="shared" si="1"/>
        <v>0.02</v>
      </c>
      <c r="H24" s="79"/>
      <c r="I24" s="81"/>
      <c r="J24" s="78"/>
      <c r="K24" s="86"/>
      <c r="L24" s="84">
        <f t="shared" si="3"/>
        <v>0</v>
      </c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5.75" customHeight="1">
      <c r="A25" s="111"/>
      <c r="B25" s="73"/>
      <c r="C25" s="80"/>
      <c r="D25" s="85"/>
      <c r="E25" s="82"/>
      <c r="F25" s="83"/>
      <c r="G25" s="84"/>
      <c r="H25" s="79"/>
      <c r="I25" s="81"/>
      <c r="J25" s="78"/>
      <c r="K25" s="86"/>
      <c r="L25" s="84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5.75" customHeight="1">
      <c r="A26" s="132">
        <f>1/D31</f>
        <v>2.8571428571428571E-2</v>
      </c>
      <c r="B26" s="73"/>
      <c r="C26" s="80"/>
      <c r="D26" s="85"/>
      <c r="E26" s="82"/>
      <c r="F26" s="83"/>
      <c r="G26" s="84"/>
      <c r="H26" s="79"/>
      <c r="I26" s="81"/>
      <c r="J26" s="78"/>
      <c r="K26" s="86"/>
      <c r="L26" s="84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5.75" customHeight="1">
      <c r="A27" s="111"/>
      <c r="B27" s="73"/>
      <c r="C27" s="80"/>
      <c r="D27" s="85"/>
      <c r="E27" s="82"/>
      <c r="F27" s="83"/>
      <c r="G27" s="84"/>
      <c r="H27" s="79"/>
      <c r="I27" s="81"/>
      <c r="J27" s="78"/>
      <c r="K27" s="86"/>
      <c r="L27" s="84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5.75" customHeight="1">
      <c r="A28" s="51"/>
      <c r="B28" s="87"/>
      <c r="C28" s="88"/>
      <c r="D28" s="89"/>
      <c r="E28" s="90"/>
      <c r="F28" s="91"/>
      <c r="G28" s="84">
        <f t="shared" ref="G28:G29" si="4">F28/G$31</f>
        <v>0</v>
      </c>
      <c r="H28" s="70"/>
      <c r="I28" s="70"/>
      <c r="J28" s="92"/>
      <c r="K28" s="93"/>
      <c r="L28" s="84">
        <f t="shared" ref="L28:L29" si="5">K28/G$31</f>
        <v>0</v>
      </c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5.75" customHeight="1">
      <c r="A29" s="51"/>
      <c r="B29" s="51"/>
      <c r="C29" s="51"/>
      <c r="D29" s="89"/>
      <c r="E29" s="90"/>
      <c r="F29" s="94"/>
      <c r="G29" s="84">
        <f t="shared" si="4"/>
        <v>0</v>
      </c>
      <c r="H29" s="70"/>
      <c r="I29" s="70"/>
      <c r="J29" s="68"/>
      <c r="K29" s="93"/>
      <c r="L29" s="84">
        <f t="shared" si="5"/>
        <v>0</v>
      </c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5.75" customHeight="1">
      <c r="A30" s="51"/>
      <c r="B30" s="75"/>
      <c r="C30" s="95" t="s">
        <v>65</v>
      </c>
      <c r="D30" s="96">
        <f>SUM(D15:D24)</f>
        <v>17</v>
      </c>
      <c r="E30" s="90">
        <f>D30/D$31</f>
        <v>0.48571428571428571</v>
      </c>
      <c r="F30" s="97" t="s">
        <v>35</v>
      </c>
      <c r="G30" s="90">
        <f>SUM(G15:G29)</f>
        <v>0.4333333333333334</v>
      </c>
      <c r="H30" s="95" t="s">
        <v>66</v>
      </c>
      <c r="I30" s="96">
        <f>SUM(I15:I23)</f>
        <v>18</v>
      </c>
      <c r="J30" s="68"/>
      <c r="K30" s="97" t="s">
        <v>35</v>
      </c>
      <c r="L30" s="98">
        <f>SUM(K15:K29)/G31</f>
        <v>0.56666666666666665</v>
      </c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5.75" customHeight="1">
      <c r="A31" s="99"/>
      <c r="B31" s="51"/>
      <c r="C31" s="100" t="s">
        <v>38</v>
      </c>
      <c r="D31" s="101">
        <v>35</v>
      </c>
      <c r="E31" s="102">
        <v>1</v>
      </c>
      <c r="F31" s="103" t="s">
        <v>39</v>
      </c>
      <c r="G31" s="104">
        <v>150</v>
      </c>
      <c r="H31" s="100" t="s">
        <v>38</v>
      </c>
      <c r="I31" s="101">
        <f>D31</f>
        <v>35</v>
      </c>
      <c r="J31" s="68"/>
      <c r="K31" s="70"/>
      <c r="L31" s="70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5.75" customHeight="1">
      <c r="A32" s="51"/>
      <c r="B32" s="51"/>
      <c r="C32" s="95" t="s">
        <v>67</v>
      </c>
      <c r="D32" s="89"/>
      <c r="E32" s="105"/>
      <c r="F32" s="105"/>
      <c r="G32" s="89"/>
      <c r="H32" s="89"/>
      <c r="I32" s="68"/>
      <c r="J32" s="68"/>
      <c r="K32" s="70"/>
      <c r="L32" s="70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3:F13"/>
    <mergeCell ref="A24:A25"/>
    <mergeCell ref="A26:A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Como usar a planilha</vt:lpstr>
      <vt:lpstr>Grade Horária</vt:lpstr>
      <vt:lpstr>Ex. Ciclo de estudos</vt:lpstr>
      <vt:lpstr>Exemplo TCDF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 Leite de Morais</cp:lastModifiedBy>
  <dcterms:created xsi:type="dcterms:W3CDTF">2024-07-13T00:54:08Z</dcterms:created>
  <dcterms:modified xsi:type="dcterms:W3CDTF">2026-02-21T23:09:29Z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2026-02-21T23:08:57Z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eb22c258-d4ed-4ff0-8cf6-286d6277949e</vt:lpwstr>
  </property>
  <property fmtid="{D5CDD505-2E9C-101B-9397-08002B2CF9AE}" pid="7" name="MSIP_Label_defa4170-0d19-0005-0004-bc88714345d2_ActionId">
    <vt:lpwstr>f8541576-11b7-474b-aac8-25a1206fe410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